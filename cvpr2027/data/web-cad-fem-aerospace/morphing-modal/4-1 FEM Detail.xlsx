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BaiduSyncdisk\论文投稿\20-AST-精细建模及参数化分析\AST1-建模分析\SM\"/>
    </mc:Choice>
  </mc:AlternateContent>
  <xr:revisionPtr revIDLastSave="0" documentId="8_{BD95313E-C9E7-4319-AA63-6511797B2CB1}" xr6:coauthVersionLast="47" xr6:coauthVersionMax="47" xr10:uidLastSave="{00000000-0000-0000-0000-000000000000}"/>
  <bookViews>
    <workbookView xWindow="-120" yWindow="-120" windowWidth="38640" windowHeight="21120" xr2:uid="{48E3135E-F78E-464E-B183-B196967A7A38}"/>
  </bookViews>
  <sheets>
    <sheet name="FEM Detail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1" i="1" l="1"/>
</calcChain>
</file>

<file path=xl/sharedStrings.xml><?xml version="1.0" encoding="utf-8"?>
<sst xmlns="http://schemas.openxmlformats.org/spreadsheetml/2006/main" count="233" uniqueCount="64">
  <si>
    <t>Caculation Platform</t>
  </si>
  <si>
    <t>CPU</t>
  </si>
  <si>
    <t>Intel(R)  i7-12700</t>
  </si>
  <si>
    <t>Internal storage</t>
  </si>
  <si>
    <t>64GB</t>
  </si>
  <si>
    <t>Speed</t>
  </si>
  <si>
    <t>4400 MT/s</t>
  </si>
  <si>
    <r>
      <t xml:space="preserve">Euler-Bernoulli beams (B23, B23H, </t>
    </r>
    <r>
      <rPr>
        <b/>
        <sz val="11"/>
        <color theme="1"/>
        <rFont val="Times New Roman"/>
        <family val="1"/>
      </rPr>
      <t>B33,</t>
    </r>
    <r>
      <rPr>
        <sz val="11"/>
        <color theme="1"/>
        <rFont val="Times New Roman"/>
        <family val="1"/>
      </rPr>
      <t xml:space="preserve"> and B33H) are available only in Abaqus/Standard. 
Timoshenko beams (B21, B22, </t>
    </r>
    <r>
      <rPr>
        <b/>
        <sz val="11"/>
        <color theme="1"/>
        <rFont val="Times New Roman"/>
        <family val="1"/>
      </rPr>
      <t>B31</t>
    </r>
    <r>
      <rPr>
        <sz val="11"/>
        <color theme="1"/>
        <rFont val="Times New Roman"/>
        <family val="1"/>
      </rPr>
      <t xml:space="preserve">, B31OS, </t>
    </r>
    <r>
      <rPr>
        <b/>
        <sz val="11"/>
        <color theme="1"/>
        <rFont val="Times New Roman"/>
        <family val="1"/>
      </rPr>
      <t>B32</t>
    </r>
    <r>
      <rPr>
        <sz val="11"/>
        <color theme="1"/>
        <rFont val="Times New Roman"/>
        <family val="1"/>
      </rPr>
      <t xml:space="preserve">, B32OS, PIPE21, PIPE22, PIPE31, PIPE32, and their “hybrid” equivalents) allow for transverse shear deformation. 
Abaqus/Standard provides element types </t>
    </r>
    <r>
      <rPr>
        <b/>
        <sz val="11"/>
        <color theme="1"/>
        <rFont val="Times New Roman"/>
        <family val="1"/>
      </rPr>
      <t>S8R</t>
    </r>
    <r>
      <rPr>
        <sz val="11"/>
        <color theme="1"/>
        <rFont val="Times New Roman"/>
        <family val="1"/>
      </rPr>
      <t xml:space="preserve"> and S8RT for use only in thick shell problems.
The elements that impose the Kirchhoff constraint numerically are S4R5, STRI65, </t>
    </r>
    <r>
      <rPr>
        <b/>
        <sz val="11"/>
        <color theme="1"/>
        <rFont val="Times New Roman"/>
        <family val="1"/>
      </rPr>
      <t>S8R5</t>
    </r>
    <r>
      <rPr>
        <sz val="11"/>
        <color theme="1"/>
        <rFont val="Times New Roman"/>
        <family val="1"/>
      </rPr>
      <t>, S9R5, SAXA1n, and SAXA2n.</t>
    </r>
  </si>
  <si>
    <t>Dof: Degree od Freedom</t>
  </si>
  <si>
    <t>CE: Computartional Expense</t>
  </si>
  <si>
    <t>CE=TOTAL CPU TIME, From ABAQUS Message File</t>
  </si>
  <si>
    <t>Test1</t>
  </si>
  <si>
    <t>AR=1.8</t>
  </si>
  <si>
    <t>Bend Modal</t>
  </si>
  <si>
    <t>Twist Modal</t>
  </si>
  <si>
    <t>Model</t>
  </si>
  <si>
    <t>Sofeware/Element Name</t>
  </si>
  <si>
    <t>Number of Element</t>
  </si>
  <si>
    <t>Number of Node</t>
  </si>
  <si>
    <t>DoF</t>
  </si>
  <si>
    <t>CE(s)</t>
  </si>
  <si>
    <t>Max Error(%)</t>
  </si>
  <si>
    <t>Thick Shell</t>
  </si>
  <si>
    <t>ABAQUS/S8R</t>
  </si>
  <si>
    <t>Thin Shell</t>
  </si>
  <si>
    <t>ABAQUS/S8R5</t>
  </si>
  <si>
    <t>Eluer Beam</t>
  </si>
  <si>
    <t>ABAQUS/B33</t>
  </si>
  <si>
    <t>Shear Beam</t>
  </si>
  <si>
    <t>ABAQUS/B32</t>
  </si>
  <si>
    <t>Soild_2mm</t>
  </si>
  <si>
    <t>ABAQUS/C3D8R</t>
  </si>
  <si>
    <t>Soild_1mm</t>
  </si>
  <si>
    <t>Soild_0d5mm</t>
  </si>
  <si>
    <t>Test2</t>
  </si>
  <si>
    <t>AR=2.5</t>
  </si>
  <si>
    <t>Test3</t>
  </si>
  <si>
    <t>AR=5.0</t>
  </si>
  <si>
    <t>CE=TOTAL CPU TIME, From NASTRAN .F04 File</t>
  </si>
  <si>
    <t>Test4</t>
  </si>
  <si>
    <t>fef = 75%</t>
  </si>
  <si>
    <t>Thin-P=Thin-P</t>
  </si>
  <si>
    <t>CQUAD4/CQUAD4</t>
  </si>
  <si>
    <t>Thin-P=Euler-B</t>
  </si>
  <si>
    <t>CQUAD4/CBEAM</t>
  </si>
  <si>
    <t>37500/500</t>
  </si>
  <si>
    <t>Euler-B=Euler-B</t>
  </si>
  <si>
    <t>CBEAM/CBEAM</t>
  </si>
  <si>
    <t>Test5</t>
  </si>
  <si>
    <t>fef = 50%</t>
  </si>
  <si>
    <t>24500/500</t>
  </si>
  <si>
    <t>`</t>
  </si>
  <si>
    <t>Test6</t>
  </si>
  <si>
    <t>fef = 25%</t>
  </si>
  <si>
    <t>12000/500</t>
  </si>
  <si>
    <t>CE=TOTAL CPU TIME, From NASTRAN .f04/.f06/.log File</t>
  </si>
  <si>
    <t>Test7</t>
  </si>
  <si>
    <t>AR=6.0</t>
  </si>
  <si>
    <t>29400/600</t>
  </si>
  <si>
    <t>Test8</t>
  </si>
  <si>
    <t>AR=4.0</t>
  </si>
  <si>
    <t>19600/400</t>
  </si>
  <si>
    <t>AR=3.0</t>
  </si>
  <si>
    <t>14700/300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</si>
</sst>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b/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aiduSyncdisk\&#35770;&#25991;&#25237;&#31295;\20-AST-&#31934;&#32454;&#24314;&#27169;&#21450;&#21442;&#25968;&#21270;&#20998;&#26512;\AST1-&#24314;&#27169;&#20998;&#26512;\Supplementary%20Material.xlsx" TargetMode="External"/><Relationship Id="rId1" Type="http://schemas.openxmlformats.org/officeDocument/2006/relationships/externalLinkPath" Target="/BaiduSyncdisk/&#35770;&#25991;&#25237;&#31295;/20-AST-&#31934;&#32454;&#24314;&#27169;&#21450;&#21442;&#25968;&#21270;&#20998;&#26512;/AST1-&#24314;&#27169;&#20998;&#26512;/Supplementary%20Mater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al Test Result"/>
      <sheetName val="FEM Detail"/>
      <sheetName val="Specimen tolerance"/>
      <sheetName val="Material property "/>
      <sheetName val="Tolerance inspection of FDM"/>
      <sheetName val="Original data of modal test"/>
      <sheetName val="Original data of material test"/>
    </sheetNames>
    <sheetDataSet>
      <sheetData sheetId="0">
        <row r="100">
          <cell r="N100">
            <v>32.474168170796361</v>
          </cell>
          <cell r="X100">
            <v>281.12787786815261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D0AB-1C72-4D8D-8652-D7E1926CD039}">
  <dimension ref="A1:H81"/>
  <sheetViews>
    <sheetView tabSelected="1" topLeftCell="A56" workbookViewId="0">
      <selection activeCell="C97" sqref="C97"/>
    </sheetView>
  </sheetViews>
  <sheetFormatPr defaultRowHeight="15" x14ac:dyDescent="0.2"/>
  <cols>
    <col min="1" max="1" width="20.375" style="3" customWidth="1"/>
    <col min="2" max="2" width="22.75" style="3" customWidth="1"/>
    <col min="3" max="34" width="15.625" style="3" customWidth="1"/>
    <col min="35" max="16384" width="9" style="3"/>
  </cols>
  <sheetData>
    <row r="1" spans="1:8" x14ac:dyDescent="0.2">
      <c r="A1" s="1" t="s">
        <v>0</v>
      </c>
      <c r="B1" s="1"/>
      <c r="C1" s="2"/>
      <c r="D1" s="2"/>
      <c r="E1"/>
      <c r="F1"/>
      <c r="G1"/>
      <c r="H1"/>
    </row>
    <row r="2" spans="1:8" x14ac:dyDescent="0.2">
      <c r="A2" s="4" t="s">
        <v>1</v>
      </c>
      <c r="B2" s="5" t="s">
        <v>2</v>
      </c>
      <c r="C2" s="6"/>
      <c r="D2" s="6"/>
      <c r="E2"/>
      <c r="F2"/>
      <c r="G2"/>
      <c r="H2"/>
    </row>
    <row r="3" spans="1:8" x14ac:dyDescent="0.2">
      <c r="A3" s="4" t="s">
        <v>3</v>
      </c>
      <c r="B3" s="4" t="s">
        <v>4</v>
      </c>
      <c r="C3"/>
      <c r="D3"/>
      <c r="E3"/>
      <c r="F3"/>
      <c r="G3"/>
      <c r="H3"/>
    </row>
    <row r="4" spans="1:8" x14ac:dyDescent="0.2">
      <c r="A4" s="4" t="s">
        <v>5</v>
      </c>
      <c r="B4" s="4" t="s">
        <v>6</v>
      </c>
      <c r="C4"/>
      <c r="D4"/>
      <c r="E4"/>
      <c r="F4"/>
      <c r="G4"/>
      <c r="H4"/>
    </row>
    <row r="5" spans="1:8" x14ac:dyDescent="0.2">
      <c r="A5" s="2"/>
      <c r="B5" s="2"/>
      <c r="C5"/>
      <c r="D5"/>
      <c r="E5"/>
      <c r="F5"/>
      <c r="G5"/>
      <c r="H5"/>
    </row>
    <row r="6" spans="1:8" x14ac:dyDescent="0.2">
      <c r="A6" s="7" t="s">
        <v>7</v>
      </c>
      <c r="B6" s="8"/>
      <c r="C6" s="8"/>
      <c r="D6" s="8"/>
      <c r="E6" s="8"/>
      <c r="F6" s="8"/>
      <c r="G6" s="8"/>
      <c r="H6" s="8"/>
    </row>
    <row r="7" spans="1:8" ht="18.75" x14ac:dyDescent="0.2">
      <c r="A7" s="9"/>
      <c r="B7" s="9"/>
      <c r="C7" s="10"/>
      <c r="D7" s="11"/>
      <c r="E7" s="11"/>
      <c r="F7" s="12"/>
      <c r="G7" s="4"/>
      <c r="H7" s="4"/>
    </row>
    <row r="8" spans="1:8" x14ac:dyDescent="0.2">
      <c r="A8" s="3" t="s">
        <v>8</v>
      </c>
      <c r="B8" s="3" t="s">
        <v>9</v>
      </c>
      <c r="C8" s="13" t="s">
        <v>10</v>
      </c>
      <c r="D8" s="13"/>
      <c r="E8" s="13"/>
      <c r="F8" s="13"/>
      <c r="G8" s="13"/>
      <c r="H8" s="13"/>
    </row>
    <row r="9" spans="1:8" ht="18.75" x14ac:dyDescent="0.2">
      <c r="A9" s="9" t="s">
        <v>11</v>
      </c>
      <c r="B9" s="9" t="s">
        <v>12</v>
      </c>
      <c r="C9" s="14"/>
      <c r="D9" s="15"/>
      <c r="E9" s="15"/>
      <c r="F9" s="16"/>
      <c r="G9" s="4" t="s">
        <v>13</v>
      </c>
      <c r="H9" s="4" t="s">
        <v>14</v>
      </c>
    </row>
    <row r="10" spans="1:8" x14ac:dyDescent="0.2">
      <c r="A10" s="4" t="s">
        <v>15</v>
      </c>
      <c r="B10" s="4" t="s">
        <v>16</v>
      </c>
      <c r="C10" s="4" t="s">
        <v>17</v>
      </c>
      <c r="D10" s="4" t="s">
        <v>18</v>
      </c>
      <c r="E10" s="4" t="s">
        <v>19</v>
      </c>
      <c r="F10" s="4" t="s">
        <v>20</v>
      </c>
      <c r="G10" s="4" t="s">
        <v>21</v>
      </c>
      <c r="H10" s="4" t="s">
        <v>21</v>
      </c>
    </row>
    <row r="11" spans="1:8" x14ac:dyDescent="0.2">
      <c r="A11" s="4" t="s">
        <v>22</v>
      </c>
      <c r="B11" s="4" t="s">
        <v>23</v>
      </c>
      <c r="C11" s="4">
        <v>18000</v>
      </c>
      <c r="D11" s="4">
        <v>54561</v>
      </c>
      <c r="E11" s="4">
        <v>327366</v>
      </c>
      <c r="F11" s="4">
        <v>20.5</v>
      </c>
      <c r="G11" s="17">
        <v>-0.93215849867693734</v>
      </c>
      <c r="H11" s="17">
        <v>-0.80466172247373824</v>
      </c>
    </row>
    <row r="12" spans="1:8" x14ac:dyDescent="0.2">
      <c r="A12" s="4" t="s">
        <v>24</v>
      </c>
      <c r="B12" s="4" t="s">
        <v>25</v>
      </c>
      <c r="C12" s="4">
        <v>18000</v>
      </c>
      <c r="D12" s="4">
        <v>54561</v>
      </c>
      <c r="E12" s="4">
        <v>435366</v>
      </c>
      <c r="F12" s="4">
        <v>17.7</v>
      </c>
      <c r="G12" s="17">
        <v>-0.4775716638889686</v>
      </c>
      <c r="H12" s="17">
        <v>-0.44050849825374516</v>
      </c>
    </row>
    <row r="13" spans="1:8" x14ac:dyDescent="0.2">
      <c r="A13" s="4" t="s">
        <v>26</v>
      </c>
      <c r="B13" s="4" t="s">
        <v>27</v>
      </c>
      <c r="C13" s="4">
        <v>180</v>
      </c>
      <c r="D13" s="4">
        <v>361</v>
      </c>
      <c r="E13" s="4">
        <v>1446</v>
      </c>
      <c r="F13" s="4">
        <v>0.2</v>
      </c>
      <c r="G13" s="17">
        <v>-5.8096078319314604</v>
      </c>
      <c r="H13" s="18">
        <v>-23.039857593346547</v>
      </c>
    </row>
    <row r="14" spans="1:8" x14ac:dyDescent="0.2">
      <c r="A14" s="4" t="s">
        <v>28</v>
      </c>
      <c r="B14" s="4" t="s">
        <v>29</v>
      </c>
      <c r="C14" s="4">
        <v>180</v>
      </c>
      <c r="D14" s="4">
        <v>361</v>
      </c>
      <c r="E14" s="4">
        <v>2166</v>
      </c>
      <c r="F14" s="4">
        <v>2.8</v>
      </c>
      <c r="G14" s="17">
        <v>-2.1247804299442259</v>
      </c>
      <c r="H14" s="18">
        <v>-23.039857593346547</v>
      </c>
    </row>
    <row r="15" spans="1:8" x14ac:dyDescent="0.2">
      <c r="A15" s="4" t="s">
        <v>30</v>
      </c>
      <c r="B15" s="4" t="s">
        <v>31</v>
      </c>
      <c r="C15" s="4">
        <v>2250</v>
      </c>
      <c r="D15" s="4">
        <v>3588</v>
      </c>
      <c r="E15" s="4">
        <v>10764</v>
      </c>
      <c r="F15" s="4">
        <v>0.9</v>
      </c>
      <c r="G15" s="17">
        <v>-20.303910614525147</v>
      </c>
      <c r="H15" s="17">
        <v>-20.472906403940883</v>
      </c>
    </row>
    <row r="16" spans="1:8" x14ac:dyDescent="0.2">
      <c r="A16" s="4" t="s">
        <v>32</v>
      </c>
      <c r="B16" s="4" t="s">
        <v>31</v>
      </c>
      <c r="C16" s="4">
        <v>18000</v>
      </c>
      <c r="D16" s="4">
        <v>23205</v>
      </c>
      <c r="E16" s="4">
        <v>69615</v>
      </c>
      <c r="F16" s="4">
        <v>8</v>
      </c>
      <c r="G16" s="17">
        <v>-11.413793103448278</v>
      </c>
      <c r="H16" s="17">
        <v>-11.381675977653629</v>
      </c>
    </row>
    <row r="17" spans="1:8" x14ac:dyDescent="0.2">
      <c r="A17" s="4" t="s">
        <v>33</v>
      </c>
      <c r="B17" s="4" t="s">
        <v>31</v>
      </c>
      <c r="C17" s="4">
        <v>180000</v>
      </c>
      <c r="D17" s="4">
        <v>201091</v>
      </c>
      <c r="E17" s="4">
        <v>603273</v>
      </c>
      <c r="F17" s="4">
        <v>56.1</v>
      </c>
      <c r="G17" s="17">
        <v>-1.2690875644609911</v>
      </c>
      <c r="H17" s="17">
        <v>-1.1979472046313273</v>
      </c>
    </row>
    <row r="19" spans="1:8" x14ac:dyDescent="0.2">
      <c r="A19" s="3" t="s">
        <v>8</v>
      </c>
      <c r="B19" s="3" t="s">
        <v>9</v>
      </c>
      <c r="C19" s="13" t="s">
        <v>10</v>
      </c>
      <c r="D19" s="13"/>
      <c r="E19" s="13"/>
      <c r="F19" s="13"/>
      <c r="G19" s="13"/>
      <c r="H19" s="13"/>
    </row>
    <row r="20" spans="1:8" ht="18.75" x14ac:dyDescent="0.2">
      <c r="A20" s="9" t="s">
        <v>34</v>
      </c>
      <c r="B20" s="9" t="s">
        <v>35</v>
      </c>
      <c r="C20" s="14"/>
      <c r="D20" s="15"/>
      <c r="E20" s="15"/>
      <c r="F20" s="16"/>
      <c r="G20" s="4" t="s">
        <v>13</v>
      </c>
      <c r="H20" s="4" t="s">
        <v>14</v>
      </c>
    </row>
    <row r="21" spans="1:8" x14ac:dyDescent="0.2">
      <c r="A21" s="4" t="s">
        <v>15</v>
      </c>
      <c r="B21" s="4" t="s">
        <v>16</v>
      </c>
      <c r="C21" s="4" t="s">
        <v>17</v>
      </c>
      <c r="D21" s="4" t="s">
        <v>18</v>
      </c>
      <c r="E21" s="4" t="s">
        <v>19</v>
      </c>
      <c r="F21" s="4" t="s">
        <v>20</v>
      </c>
      <c r="G21" s="4" t="s">
        <v>21</v>
      </c>
      <c r="H21" s="4" t="s">
        <v>21</v>
      </c>
    </row>
    <row r="22" spans="1:8" x14ac:dyDescent="0.2">
      <c r="A22" s="4" t="s">
        <v>22</v>
      </c>
      <c r="B22" s="4" t="s">
        <v>23</v>
      </c>
      <c r="C22" s="4">
        <v>25000</v>
      </c>
      <c r="D22" s="4">
        <v>75701</v>
      </c>
      <c r="E22" s="4">
        <v>454206</v>
      </c>
      <c r="F22" s="4">
        <v>24.8</v>
      </c>
      <c r="G22" s="17">
        <v>-2.7706164194985257</v>
      </c>
      <c r="H22" s="17">
        <v>-1.196441187643255</v>
      </c>
    </row>
    <row r="23" spans="1:8" x14ac:dyDescent="0.2">
      <c r="A23" s="4" t="s">
        <v>24</v>
      </c>
      <c r="B23" s="4" t="s">
        <v>25</v>
      </c>
      <c r="C23" s="4">
        <v>25000</v>
      </c>
      <c r="D23" s="4">
        <v>75701</v>
      </c>
      <c r="E23" s="4">
        <v>604206</v>
      </c>
      <c r="F23" s="4">
        <v>18.8</v>
      </c>
      <c r="G23" s="17">
        <v>-2.535244895275294</v>
      </c>
      <c r="H23" s="17">
        <v>-0.8915923830857343</v>
      </c>
    </row>
    <row r="24" spans="1:8" x14ac:dyDescent="0.2">
      <c r="A24" s="4" t="s">
        <v>26</v>
      </c>
      <c r="B24" s="4" t="s">
        <v>27</v>
      </c>
      <c r="C24" s="4">
        <v>250</v>
      </c>
      <c r="D24" s="4">
        <v>501</v>
      </c>
      <c r="E24" s="4">
        <v>2006</v>
      </c>
      <c r="F24" s="4">
        <v>2.6</v>
      </c>
      <c r="G24" s="17">
        <v>-3.2902289793303212</v>
      </c>
      <c r="H24" s="18">
        <v>-15.640416219240821</v>
      </c>
    </row>
    <row r="25" spans="1:8" x14ac:dyDescent="0.2">
      <c r="A25" s="4" t="s">
        <v>28</v>
      </c>
      <c r="B25" s="4" t="s">
        <v>29</v>
      </c>
      <c r="C25" s="4">
        <v>250</v>
      </c>
      <c r="D25" s="4">
        <v>501</v>
      </c>
      <c r="E25" s="4">
        <v>3006</v>
      </c>
      <c r="F25" s="4">
        <v>2.9</v>
      </c>
      <c r="G25" s="17">
        <v>-4.5558495905136907</v>
      </c>
      <c r="H25" s="18">
        <v>-15.641501090431424</v>
      </c>
    </row>
    <row r="26" spans="1:8" x14ac:dyDescent="0.2">
      <c r="A26" s="4" t="s">
        <v>30</v>
      </c>
      <c r="B26" s="4" t="s">
        <v>31</v>
      </c>
      <c r="C26" s="4">
        <v>3150</v>
      </c>
      <c r="D26" s="4">
        <v>14976</v>
      </c>
      <c r="E26" s="4">
        <v>14976</v>
      </c>
      <c r="F26" s="4">
        <v>0.9</v>
      </c>
      <c r="G26" s="17">
        <v>-22.387008234217799</v>
      </c>
      <c r="H26" s="17">
        <v>-20.955050588820704</v>
      </c>
    </row>
    <row r="27" spans="1:8" x14ac:dyDescent="0.2">
      <c r="A27" s="4" t="s">
        <v>32</v>
      </c>
      <c r="B27" s="4" t="s">
        <v>31</v>
      </c>
      <c r="C27" s="4">
        <v>25000</v>
      </c>
      <c r="D27" s="4">
        <v>32130</v>
      </c>
      <c r="E27" s="4">
        <v>96390</v>
      </c>
      <c r="F27" s="4">
        <v>8.8000000000000007</v>
      </c>
      <c r="G27" s="17">
        <v>-13.472095150960659</v>
      </c>
      <c r="H27" s="17">
        <v>-12.066014264388787</v>
      </c>
    </row>
    <row r="28" spans="1:8" x14ac:dyDescent="0.2">
      <c r="A28" s="4" t="s">
        <v>33</v>
      </c>
      <c r="B28" s="4" t="s">
        <v>31</v>
      </c>
      <c r="C28" s="4">
        <v>250000</v>
      </c>
      <c r="D28" s="4">
        <v>278861</v>
      </c>
      <c r="E28" s="4">
        <v>836583</v>
      </c>
      <c r="F28" s="4">
        <v>54.4</v>
      </c>
      <c r="G28" s="17">
        <v>-5.2360334020401451</v>
      </c>
      <c r="H28" s="17">
        <v>-3.7307002888759402</v>
      </c>
    </row>
    <row r="30" spans="1:8" x14ac:dyDescent="0.2">
      <c r="A30" s="3" t="s">
        <v>8</v>
      </c>
      <c r="B30" s="3" t="s">
        <v>9</v>
      </c>
      <c r="C30" s="13" t="s">
        <v>10</v>
      </c>
      <c r="D30" s="13"/>
      <c r="E30" s="13"/>
      <c r="F30" s="13"/>
      <c r="G30" s="13"/>
      <c r="H30" s="13"/>
    </row>
    <row r="31" spans="1:8" ht="18.75" x14ac:dyDescent="0.2">
      <c r="A31" s="9" t="s">
        <v>36</v>
      </c>
      <c r="B31" s="9" t="s">
        <v>37</v>
      </c>
      <c r="C31" s="14"/>
      <c r="D31" s="15"/>
      <c r="E31" s="15"/>
      <c r="F31" s="16"/>
      <c r="G31" s="4" t="s">
        <v>13</v>
      </c>
      <c r="H31" s="4" t="s">
        <v>14</v>
      </c>
    </row>
    <row r="32" spans="1:8" x14ac:dyDescent="0.2">
      <c r="A32" s="4" t="s">
        <v>15</v>
      </c>
      <c r="B32" s="4" t="s">
        <v>16</v>
      </c>
      <c r="C32" s="4" t="s">
        <v>17</v>
      </c>
      <c r="D32" s="4" t="s">
        <v>18</v>
      </c>
      <c r="E32" s="4" t="s">
        <v>19</v>
      </c>
      <c r="F32" s="4" t="s">
        <v>20</v>
      </c>
      <c r="G32" s="4" t="s">
        <v>21</v>
      </c>
      <c r="H32" s="4" t="s">
        <v>21</v>
      </c>
    </row>
    <row r="33" spans="1:8" x14ac:dyDescent="0.2">
      <c r="A33" s="4" t="s">
        <v>22</v>
      </c>
      <c r="B33" s="4" t="s">
        <v>23</v>
      </c>
      <c r="C33" s="4">
        <v>50000</v>
      </c>
      <c r="D33" s="4">
        <v>151201</v>
      </c>
      <c r="E33" s="4">
        <v>907206</v>
      </c>
      <c r="F33" s="4">
        <v>35.6</v>
      </c>
      <c r="G33" s="17">
        <v>1.8591406910244752</v>
      </c>
      <c r="H33" s="17">
        <v>5.8500146509085251</v>
      </c>
    </row>
    <row r="34" spans="1:8" x14ac:dyDescent="0.2">
      <c r="A34" s="4" t="s">
        <v>24</v>
      </c>
      <c r="B34" s="4" t="s">
        <v>25</v>
      </c>
      <c r="C34" s="4">
        <v>50000</v>
      </c>
      <c r="D34" s="4">
        <v>151201</v>
      </c>
      <c r="E34" s="4">
        <v>1207206</v>
      </c>
      <c r="F34" s="4">
        <v>23.5</v>
      </c>
      <c r="G34" s="17">
        <v>1.8523464580541671</v>
      </c>
      <c r="H34" s="17">
        <v>6.1119836133334244</v>
      </c>
    </row>
    <row r="35" spans="1:8" x14ac:dyDescent="0.2">
      <c r="A35" s="4" t="s">
        <v>26</v>
      </c>
      <c r="B35" s="4" t="s">
        <v>27</v>
      </c>
      <c r="C35" s="4">
        <v>500</v>
      </c>
      <c r="D35" s="4">
        <v>1001</v>
      </c>
      <c r="E35" s="4">
        <v>4006</v>
      </c>
      <c r="F35" s="4">
        <v>2.8</v>
      </c>
      <c r="G35" s="17">
        <v>-3.2150174559314326</v>
      </c>
      <c r="H35" s="17">
        <v>1.024554473302143</v>
      </c>
    </row>
    <row r="36" spans="1:8" x14ac:dyDescent="0.2">
      <c r="A36" s="4" t="s">
        <v>28</v>
      </c>
      <c r="B36" s="4" t="s">
        <v>29</v>
      </c>
      <c r="C36" s="4">
        <v>500</v>
      </c>
      <c r="D36" s="4">
        <v>1001</v>
      </c>
      <c r="E36" s="4">
        <v>6006</v>
      </c>
      <c r="F36" s="4">
        <v>3.2</v>
      </c>
      <c r="G36" s="17">
        <v>-3.2092856726116068</v>
      </c>
      <c r="H36" s="17">
        <v>1.024554473302143</v>
      </c>
    </row>
    <row r="37" spans="1:8" x14ac:dyDescent="0.2">
      <c r="A37" s="4" t="s">
        <v>30</v>
      </c>
      <c r="B37" s="4" t="s">
        <v>31</v>
      </c>
      <c r="C37" s="4">
        <v>6250</v>
      </c>
      <c r="D37" s="4">
        <v>9828</v>
      </c>
      <c r="E37" s="4">
        <v>29484</v>
      </c>
      <c r="F37" s="4">
        <v>1.2</v>
      </c>
      <c r="G37" s="17">
        <v>-16.097606757390896</v>
      </c>
      <c r="H37" s="17">
        <v>-9.4571428571428537</v>
      </c>
    </row>
    <row r="38" spans="1:8" x14ac:dyDescent="0.2">
      <c r="A38" s="4" t="s">
        <v>32</v>
      </c>
      <c r="B38" s="4" t="s">
        <v>31</v>
      </c>
      <c r="C38" s="4">
        <v>50000</v>
      </c>
      <c r="D38" s="4">
        <v>64005</v>
      </c>
      <c r="E38" s="4">
        <v>192015</v>
      </c>
      <c r="F38" s="4">
        <v>13.2</v>
      </c>
      <c r="G38" s="17">
        <v>-4.4827586206896513</v>
      </c>
      <c r="H38" s="17">
        <v>1.1111111111111192</v>
      </c>
    </row>
    <row r="39" spans="1:8" x14ac:dyDescent="0.2">
      <c r="A39" s="4" t="s">
        <v>33</v>
      </c>
      <c r="B39" s="4" t="s">
        <v>31</v>
      </c>
      <c r="C39" s="4">
        <v>500000</v>
      </c>
      <c r="D39" s="4">
        <v>556611</v>
      </c>
      <c r="E39" s="4">
        <v>1669833</v>
      </c>
      <c r="F39" s="4">
        <v>108.5</v>
      </c>
      <c r="G39" s="17">
        <v>-2.2900858545111933</v>
      </c>
      <c r="H39" s="17">
        <v>5.1945598139950224</v>
      </c>
    </row>
    <row r="41" spans="1:8" x14ac:dyDescent="0.2">
      <c r="A41" s="3" t="s">
        <v>8</v>
      </c>
      <c r="B41" s="3" t="s">
        <v>9</v>
      </c>
      <c r="C41" s="13" t="s">
        <v>38</v>
      </c>
      <c r="D41" s="13"/>
      <c r="E41" s="13"/>
      <c r="F41" s="13"/>
      <c r="G41" s="13"/>
      <c r="H41" s="13"/>
    </row>
    <row r="42" spans="1:8" ht="18.75" x14ac:dyDescent="0.2">
      <c r="A42" s="9" t="s">
        <v>39</v>
      </c>
      <c r="B42" s="9" t="s">
        <v>37</v>
      </c>
      <c r="C42" s="14" t="s">
        <v>40</v>
      </c>
      <c r="D42" s="15"/>
      <c r="E42" s="15"/>
      <c r="F42" s="16"/>
      <c r="G42" s="4" t="s">
        <v>13</v>
      </c>
      <c r="H42" s="4" t="s">
        <v>14</v>
      </c>
    </row>
    <row r="43" spans="1:8" x14ac:dyDescent="0.2">
      <c r="A43" s="4" t="s">
        <v>15</v>
      </c>
      <c r="B43" s="4" t="s">
        <v>16</v>
      </c>
      <c r="C43" s="4" t="s">
        <v>17</v>
      </c>
      <c r="D43" s="4" t="s">
        <v>18</v>
      </c>
      <c r="E43" s="4" t="s">
        <v>19</v>
      </c>
      <c r="F43" s="4" t="s">
        <v>20</v>
      </c>
      <c r="G43" s="4" t="s">
        <v>21</v>
      </c>
      <c r="H43" s="4" t="s">
        <v>21</v>
      </c>
    </row>
    <row r="44" spans="1:8" x14ac:dyDescent="0.2">
      <c r="A44" s="4" t="s">
        <v>41</v>
      </c>
      <c r="B44" s="4" t="s">
        <v>42</v>
      </c>
      <c r="C44" s="4">
        <v>50000</v>
      </c>
      <c r="D44" s="4">
        <v>51102</v>
      </c>
      <c r="E44" s="4">
        <v>306612</v>
      </c>
      <c r="F44" s="4">
        <v>7.5</v>
      </c>
      <c r="G44" s="17">
        <v>-1.8727452875228618</v>
      </c>
      <c r="H44" s="17">
        <v>1.7065689345722741</v>
      </c>
    </row>
    <row r="45" spans="1:8" x14ac:dyDescent="0.2">
      <c r="A45" s="4" t="s">
        <v>43</v>
      </c>
      <c r="B45" s="4" t="s">
        <v>44</v>
      </c>
      <c r="C45" s="4" t="s">
        <v>45</v>
      </c>
      <c r="D45" s="4">
        <v>38577</v>
      </c>
      <c r="E45" s="4">
        <v>231462</v>
      </c>
      <c r="F45" s="4">
        <v>5.5</v>
      </c>
      <c r="G45" s="17">
        <v>-2.2893673276566</v>
      </c>
      <c r="H45" s="17">
        <v>1.5651242241281105</v>
      </c>
    </row>
    <row r="46" spans="1:8" x14ac:dyDescent="0.2">
      <c r="A46" s="4" t="s">
        <v>46</v>
      </c>
      <c r="B46" s="4" t="s">
        <v>47</v>
      </c>
      <c r="C46" s="4">
        <v>1000</v>
      </c>
      <c r="D46" s="4">
        <v>1002</v>
      </c>
      <c r="E46" s="4">
        <v>6012</v>
      </c>
      <c r="F46" s="4">
        <v>0.2</v>
      </c>
      <c r="G46" s="17">
        <v>92.456313848711062</v>
      </c>
      <c r="H46" s="17">
        <v>1141.8951674021794</v>
      </c>
    </row>
    <row r="48" spans="1:8" x14ac:dyDescent="0.2">
      <c r="A48" s="3" t="s">
        <v>8</v>
      </c>
      <c r="B48" s="3" t="s">
        <v>9</v>
      </c>
      <c r="C48" s="13" t="s">
        <v>38</v>
      </c>
      <c r="D48" s="13"/>
      <c r="E48" s="13"/>
      <c r="F48" s="13"/>
      <c r="G48" s="13"/>
      <c r="H48" s="13"/>
    </row>
    <row r="49" spans="1:8" ht="18.75" x14ac:dyDescent="0.2">
      <c r="A49" s="9" t="s">
        <v>48</v>
      </c>
      <c r="B49" s="9" t="s">
        <v>37</v>
      </c>
      <c r="C49" s="14" t="s">
        <v>49</v>
      </c>
      <c r="D49" s="15"/>
      <c r="E49" s="15"/>
      <c r="F49" s="16"/>
      <c r="G49" s="4" t="s">
        <v>13</v>
      </c>
      <c r="H49" s="4" t="s">
        <v>14</v>
      </c>
    </row>
    <row r="50" spans="1:8" x14ac:dyDescent="0.2">
      <c r="A50" s="4" t="s">
        <v>15</v>
      </c>
      <c r="B50" s="4" t="s">
        <v>16</v>
      </c>
      <c r="C50" s="4" t="s">
        <v>17</v>
      </c>
      <c r="D50" s="4" t="s">
        <v>18</v>
      </c>
      <c r="E50" s="4" t="s">
        <v>19</v>
      </c>
      <c r="F50" s="4" t="s">
        <v>20</v>
      </c>
      <c r="G50" s="4" t="s">
        <v>21</v>
      </c>
      <c r="H50" s="4" t="s">
        <v>21</v>
      </c>
    </row>
    <row r="51" spans="1:8" x14ac:dyDescent="0.2">
      <c r="A51" s="4" t="s">
        <v>41</v>
      </c>
      <c r="B51" s="4" t="s">
        <v>42</v>
      </c>
      <c r="C51" s="4">
        <v>49000</v>
      </c>
      <c r="D51" s="4">
        <v>50100</v>
      </c>
      <c r="E51" s="4">
        <v>300600</v>
      </c>
      <c r="F51" s="19">
        <v>10.1</v>
      </c>
      <c r="G51" s="17">
        <v>-3.4563043263271029</v>
      </c>
      <c r="H51" s="17">
        <v>-12.500288521386707</v>
      </c>
    </row>
    <row r="52" spans="1:8" x14ac:dyDescent="0.2">
      <c r="A52" s="4" t="s">
        <v>43</v>
      </c>
      <c r="B52" s="4" t="s">
        <v>44</v>
      </c>
      <c r="C52" s="4" t="s">
        <v>50</v>
      </c>
      <c r="D52" s="4">
        <v>25551</v>
      </c>
      <c r="E52" s="4">
        <v>153306</v>
      </c>
      <c r="F52" s="19">
        <v>5</v>
      </c>
      <c r="G52" s="17">
        <v>-4.138946989436997</v>
      </c>
      <c r="H52" s="17">
        <v>4.1007309262612468</v>
      </c>
    </row>
    <row r="53" spans="1:8" x14ac:dyDescent="0.2">
      <c r="A53" s="4" t="s">
        <v>46</v>
      </c>
      <c r="B53" s="4" t="s">
        <v>47</v>
      </c>
      <c r="C53" s="4">
        <v>1000</v>
      </c>
      <c r="D53" s="4">
        <v>1002</v>
      </c>
      <c r="E53" s="4">
        <v>6012</v>
      </c>
      <c r="F53" s="19">
        <v>0.2</v>
      </c>
      <c r="G53" s="17">
        <v>-3.3896638535235688</v>
      </c>
      <c r="H53" s="17">
        <v>742.66580944351529</v>
      </c>
    </row>
    <row r="55" spans="1:8" x14ac:dyDescent="0.2">
      <c r="A55" s="3" t="s">
        <v>8</v>
      </c>
      <c r="B55" s="3" t="s">
        <v>9</v>
      </c>
      <c r="C55" s="13" t="s">
        <v>51</v>
      </c>
      <c r="D55" s="13"/>
      <c r="E55" s="13"/>
      <c r="F55" s="13"/>
      <c r="G55" s="13"/>
      <c r="H55" s="13"/>
    </row>
    <row r="56" spans="1:8" ht="18.75" x14ac:dyDescent="0.2">
      <c r="A56" s="9" t="s">
        <v>52</v>
      </c>
      <c r="B56" s="9" t="s">
        <v>37</v>
      </c>
      <c r="C56" s="14" t="s">
        <v>53</v>
      </c>
      <c r="D56" s="15"/>
      <c r="E56" s="15"/>
      <c r="F56" s="16"/>
      <c r="G56" s="4" t="s">
        <v>13</v>
      </c>
      <c r="H56" s="4" t="s">
        <v>14</v>
      </c>
    </row>
    <row r="57" spans="1:8" x14ac:dyDescent="0.2">
      <c r="A57" s="4" t="s">
        <v>15</v>
      </c>
      <c r="B57" s="4" t="s">
        <v>16</v>
      </c>
      <c r="C57" s="4" t="s">
        <v>17</v>
      </c>
      <c r="D57" s="4" t="s">
        <v>18</v>
      </c>
      <c r="E57" s="4" t="s">
        <v>19</v>
      </c>
      <c r="F57" s="4" t="s">
        <v>20</v>
      </c>
      <c r="G57" s="4" t="s">
        <v>21</v>
      </c>
      <c r="H57" s="4" t="s">
        <v>21</v>
      </c>
    </row>
    <row r="58" spans="1:8" x14ac:dyDescent="0.2">
      <c r="A58" s="4" t="s">
        <v>41</v>
      </c>
      <c r="B58" s="4" t="s">
        <v>42</v>
      </c>
      <c r="C58" s="4">
        <v>49000</v>
      </c>
      <c r="D58" s="4">
        <v>50100</v>
      </c>
      <c r="E58" s="4">
        <v>143239</v>
      </c>
      <c r="F58" s="19">
        <v>10.4</v>
      </c>
      <c r="G58" s="17">
        <v>-2.1948820873055657</v>
      </c>
      <c r="H58" s="17">
        <v>-1.9528330781010905</v>
      </c>
    </row>
    <row r="59" spans="1:8" x14ac:dyDescent="0.2">
      <c r="A59" s="4" t="s">
        <v>43</v>
      </c>
      <c r="B59" s="4" t="s">
        <v>44</v>
      </c>
      <c r="C59" s="4" t="s">
        <v>54</v>
      </c>
      <c r="D59" s="4">
        <v>13026</v>
      </c>
      <c r="E59" s="4">
        <v>78156</v>
      </c>
      <c r="F59" s="19">
        <v>2.6</v>
      </c>
      <c r="G59" s="17">
        <v>-2.6444555945810166</v>
      </c>
      <c r="H59" s="17">
        <v>2.3504457423916514</v>
      </c>
    </row>
    <row r="60" spans="1:8" x14ac:dyDescent="0.2">
      <c r="A60" s="4" t="s">
        <v>46</v>
      </c>
      <c r="B60" s="4" t="s">
        <v>47</v>
      </c>
      <c r="C60" s="4">
        <v>1000</v>
      </c>
      <c r="D60" s="4">
        <v>1002</v>
      </c>
      <c r="E60" s="4">
        <v>6012</v>
      </c>
      <c r="F60" s="19">
        <v>0.2</v>
      </c>
      <c r="G60" s="17">
        <v>-3.7845249755142034</v>
      </c>
      <c r="H60" s="17">
        <v>100.00449208779987</v>
      </c>
    </row>
    <row r="62" spans="1:8" x14ac:dyDescent="0.2">
      <c r="A62" s="3" t="s">
        <v>8</v>
      </c>
      <c r="B62" s="3" t="s">
        <v>9</v>
      </c>
      <c r="C62" s="13" t="s">
        <v>55</v>
      </c>
      <c r="D62" s="13"/>
      <c r="E62" s="13"/>
      <c r="F62" s="13"/>
      <c r="G62" s="13"/>
      <c r="H62" s="13"/>
    </row>
    <row r="63" spans="1:8" ht="18.75" x14ac:dyDescent="0.2">
      <c r="A63" s="9" t="s">
        <v>56</v>
      </c>
      <c r="B63" s="9" t="s">
        <v>57</v>
      </c>
      <c r="C63" s="14" t="s">
        <v>49</v>
      </c>
      <c r="D63" s="15"/>
      <c r="E63" s="15"/>
      <c r="F63" s="16"/>
      <c r="G63" s="4" t="s">
        <v>13</v>
      </c>
      <c r="H63" s="4" t="s">
        <v>14</v>
      </c>
    </row>
    <row r="64" spans="1:8" x14ac:dyDescent="0.2">
      <c r="A64" s="4" t="s">
        <v>15</v>
      </c>
      <c r="B64" s="4" t="s">
        <v>16</v>
      </c>
      <c r="C64" s="4" t="s">
        <v>17</v>
      </c>
      <c r="D64" s="4" t="s">
        <v>18</v>
      </c>
      <c r="E64" s="4" t="s">
        <v>19</v>
      </c>
      <c r="F64" s="4" t="s">
        <v>20</v>
      </c>
      <c r="G64" s="4" t="s">
        <v>21</v>
      </c>
      <c r="H64" s="4" t="s">
        <v>21</v>
      </c>
    </row>
    <row r="65" spans="1:8" x14ac:dyDescent="0.2">
      <c r="A65" s="4" t="s">
        <v>41</v>
      </c>
      <c r="B65" s="4" t="s">
        <v>42</v>
      </c>
      <c r="C65" s="4">
        <v>58800</v>
      </c>
      <c r="D65" s="4">
        <v>60100</v>
      </c>
      <c r="E65" s="4">
        <v>360600</v>
      </c>
      <c r="F65" s="19">
        <v>9.1999999999999993</v>
      </c>
      <c r="G65" s="17">
        <v>-5.0788692127503046</v>
      </c>
      <c r="H65" s="17">
        <v>2.6837963322985936</v>
      </c>
    </row>
    <row r="66" spans="1:8" x14ac:dyDescent="0.2">
      <c r="A66" s="4" t="s">
        <v>43</v>
      </c>
      <c r="B66" s="4" t="s">
        <v>44</v>
      </c>
      <c r="C66" s="4" t="s">
        <v>58</v>
      </c>
      <c r="D66" s="4">
        <v>30651</v>
      </c>
      <c r="E66" s="4">
        <v>183906</v>
      </c>
      <c r="F66" s="19">
        <v>5.8</v>
      </c>
      <c r="G66" s="17">
        <v>-5.0492657943829498</v>
      </c>
      <c r="H66" s="17">
        <v>6.7070137760524977</v>
      </c>
    </row>
    <row r="67" spans="1:8" x14ac:dyDescent="0.2">
      <c r="A67" s="4" t="s">
        <v>46</v>
      </c>
      <c r="B67" s="4" t="s">
        <v>47</v>
      </c>
      <c r="C67" s="4">
        <v>1200</v>
      </c>
      <c r="D67" s="4">
        <v>1202</v>
      </c>
      <c r="E67" s="4">
        <v>7212</v>
      </c>
      <c r="F67" s="19">
        <v>0.3</v>
      </c>
      <c r="G67" s="17">
        <v>-4.5788427679348125</v>
      </c>
      <c r="H67" s="17">
        <v>160.37176127061792</v>
      </c>
    </row>
    <row r="69" spans="1:8" x14ac:dyDescent="0.2">
      <c r="A69" s="3" t="s">
        <v>8</v>
      </c>
      <c r="B69" s="3" t="s">
        <v>9</v>
      </c>
      <c r="C69" s="13" t="s">
        <v>55</v>
      </c>
      <c r="D69" s="13"/>
      <c r="E69" s="13"/>
      <c r="F69" s="13"/>
      <c r="G69" s="13"/>
      <c r="H69" s="13"/>
    </row>
    <row r="70" spans="1:8" ht="18.75" x14ac:dyDescent="0.2">
      <c r="A70" s="9" t="s">
        <v>59</v>
      </c>
      <c r="B70" s="9" t="s">
        <v>60</v>
      </c>
      <c r="C70" s="14" t="s">
        <v>49</v>
      </c>
      <c r="D70" s="15"/>
      <c r="E70" s="15"/>
      <c r="F70" s="16"/>
      <c r="G70" s="4" t="s">
        <v>13</v>
      </c>
      <c r="H70" s="4" t="s">
        <v>14</v>
      </c>
    </row>
    <row r="71" spans="1:8" x14ac:dyDescent="0.2">
      <c r="A71" s="4" t="s">
        <v>15</v>
      </c>
      <c r="B71" s="4" t="s">
        <v>16</v>
      </c>
      <c r="C71" s="4" t="s">
        <v>17</v>
      </c>
      <c r="D71" s="4" t="s">
        <v>18</v>
      </c>
      <c r="E71" s="4" t="s">
        <v>19</v>
      </c>
      <c r="F71" s="4" t="s">
        <v>20</v>
      </c>
      <c r="G71" s="4" t="s">
        <v>21</v>
      </c>
      <c r="H71" s="4" t="s">
        <v>21</v>
      </c>
    </row>
    <row r="72" spans="1:8" x14ac:dyDescent="0.2">
      <c r="A72" s="4" t="s">
        <v>41</v>
      </c>
      <c r="B72" s="4" t="s">
        <v>42</v>
      </c>
      <c r="C72" s="4">
        <v>39200</v>
      </c>
      <c r="D72" s="4">
        <v>40100</v>
      </c>
      <c r="E72" s="4">
        <v>240600</v>
      </c>
      <c r="F72" s="19">
        <v>7.8</v>
      </c>
      <c r="G72" s="17">
        <v>2.5295235568704162</v>
      </c>
      <c r="H72" s="17">
        <v>3.5165518244128124</v>
      </c>
    </row>
    <row r="73" spans="1:8" x14ac:dyDescent="0.2">
      <c r="A73" s="4" t="s">
        <v>43</v>
      </c>
      <c r="B73" s="4" t="s">
        <v>44</v>
      </c>
      <c r="C73" s="4" t="s">
        <v>61</v>
      </c>
      <c r="D73" s="4">
        <v>20452</v>
      </c>
      <c r="E73" s="4">
        <v>122712</v>
      </c>
      <c r="F73" s="19">
        <v>4.3</v>
      </c>
      <c r="G73" s="17">
        <v>3.2880960343310677</v>
      </c>
      <c r="H73" s="17">
        <v>1.1042479668339962</v>
      </c>
    </row>
    <row r="74" spans="1:8" x14ac:dyDescent="0.2">
      <c r="A74" s="4" t="s">
        <v>46</v>
      </c>
      <c r="B74" s="4" t="s">
        <v>47</v>
      </c>
      <c r="C74" s="4">
        <v>800</v>
      </c>
      <c r="D74" s="4">
        <v>802</v>
      </c>
      <c r="E74" s="4">
        <v>4812</v>
      </c>
      <c r="F74" s="19">
        <v>0.2</v>
      </c>
      <c r="G74" s="17">
        <v>4.5023135510427519</v>
      </c>
      <c r="H74" s="17">
        <v>945.89738684850818</v>
      </c>
    </row>
    <row r="76" spans="1:8" x14ac:dyDescent="0.2">
      <c r="A76" s="3" t="s">
        <v>8</v>
      </c>
      <c r="B76" s="3" t="s">
        <v>9</v>
      </c>
      <c r="C76" s="13" t="s">
        <v>55</v>
      </c>
      <c r="D76" s="13"/>
      <c r="E76" s="13"/>
      <c r="F76" s="13"/>
      <c r="G76" s="13"/>
      <c r="H76" s="13"/>
    </row>
    <row r="77" spans="1:8" ht="18.75" x14ac:dyDescent="0.2">
      <c r="A77" s="9" t="s">
        <v>59</v>
      </c>
      <c r="B77" s="9" t="s">
        <v>62</v>
      </c>
      <c r="C77" s="14" t="s">
        <v>49</v>
      </c>
      <c r="D77" s="15"/>
      <c r="E77" s="15"/>
      <c r="F77" s="16"/>
      <c r="G77" s="4" t="s">
        <v>13</v>
      </c>
      <c r="H77" s="4" t="s">
        <v>14</v>
      </c>
    </row>
    <row r="78" spans="1:8" x14ac:dyDescent="0.2">
      <c r="A78" s="4" t="s">
        <v>15</v>
      </c>
      <c r="B78" s="4" t="s">
        <v>16</v>
      </c>
      <c r="C78" s="4" t="s">
        <v>17</v>
      </c>
      <c r="D78" s="4" t="s">
        <v>18</v>
      </c>
      <c r="E78" s="4" t="s">
        <v>19</v>
      </c>
      <c r="F78" s="4" t="s">
        <v>20</v>
      </c>
      <c r="G78" s="17" t="s">
        <v>21</v>
      </c>
      <c r="H78" s="4" t="s">
        <v>21</v>
      </c>
    </row>
    <row r="79" spans="1:8" x14ac:dyDescent="0.2">
      <c r="A79" s="4" t="s">
        <v>41</v>
      </c>
      <c r="B79" s="4" t="s">
        <v>42</v>
      </c>
      <c r="C79" s="4">
        <v>29400</v>
      </c>
      <c r="D79" s="4">
        <v>30100</v>
      </c>
      <c r="E79" s="4">
        <v>180600</v>
      </c>
      <c r="F79" s="19">
        <v>6.2</v>
      </c>
      <c r="G79" s="17">
        <v>3.2880960343310677</v>
      </c>
      <c r="H79" s="17">
        <v>2.4096917415908763</v>
      </c>
    </row>
    <row r="80" spans="1:8" x14ac:dyDescent="0.2">
      <c r="A80" s="4" t="s">
        <v>43</v>
      </c>
      <c r="B80" s="4" t="s">
        <v>44</v>
      </c>
      <c r="C80" s="4" t="s">
        <v>63</v>
      </c>
      <c r="D80" s="4">
        <v>15302</v>
      </c>
      <c r="E80" s="4">
        <v>92112</v>
      </c>
      <c r="F80" s="19">
        <v>3.5</v>
      </c>
      <c r="G80" s="17">
        <v>2.5295235568704162</v>
      </c>
      <c r="H80" s="17">
        <v>3.5165518244128124</v>
      </c>
    </row>
    <row r="81" spans="1:8" x14ac:dyDescent="0.2">
      <c r="A81" s="4" t="s">
        <v>46</v>
      </c>
      <c r="B81" s="4" t="s">
        <v>47</v>
      </c>
      <c r="C81" s="4">
        <v>600</v>
      </c>
      <c r="D81" s="4">
        <v>602</v>
      </c>
      <c r="E81" s="4">
        <v>3612</v>
      </c>
      <c r="F81" s="19">
        <v>0.1</v>
      </c>
      <c r="G81" s="17">
        <v>1297.6798768802701</v>
      </c>
      <c r="H81" s="17">
        <f>100*('[1]Modal Test Result'!X100-'[1]Modal Test Result'!N100)/'[1]Modal Test Result'!N100</f>
        <v>765.6969329886258</v>
      </c>
    </row>
  </sheetData>
  <mergeCells count="20">
    <mergeCell ref="C76:H76"/>
    <mergeCell ref="C77:F77"/>
    <mergeCell ref="C55:H55"/>
    <mergeCell ref="C56:F56"/>
    <mergeCell ref="C62:H62"/>
    <mergeCell ref="C63:F63"/>
    <mergeCell ref="C69:H69"/>
    <mergeCell ref="C70:F70"/>
    <mergeCell ref="C30:H30"/>
    <mergeCell ref="C31:F31"/>
    <mergeCell ref="C41:H41"/>
    <mergeCell ref="C42:F42"/>
    <mergeCell ref="C48:H48"/>
    <mergeCell ref="C49:F49"/>
    <mergeCell ref="A1:B1"/>
    <mergeCell ref="A6:H6"/>
    <mergeCell ref="C8:H8"/>
    <mergeCell ref="C9:F9"/>
    <mergeCell ref="C19:H19"/>
    <mergeCell ref="C20:F20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FEM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2025-09-05T14:28:31Z</dcterms:created>
  <dcterms:modified xsi:type="dcterms:W3CDTF">2025-09-05T14:28:44Z</dcterms:modified>
</cp:coreProperties>
</file>