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BaiduSyncdisk\论文投稿\20-AST-精细建模及参数化分析\AST1-建模分析\SM\"/>
    </mc:Choice>
  </mc:AlternateContent>
  <xr:revisionPtr revIDLastSave="0" documentId="8_{870465A7-BAF2-45EC-9318-F7CE3A70EC8C}" xr6:coauthVersionLast="47" xr6:coauthVersionMax="47" xr10:uidLastSave="{00000000-0000-0000-0000-000000000000}"/>
  <bookViews>
    <workbookView xWindow="-120" yWindow="-120" windowWidth="38640" windowHeight="21120" xr2:uid="{BEE2C647-5909-4CC8-9F1F-F1A34D8B17CA}"/>
  </bookViews>
  <sheets>
    <sheet name="Specimen toler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6" i="1" l="1"/>
  <c r="E126" i="1"/>
  <c r="D126" i="1"/>
  <c r="C126" i="1"/>
  <c r="B126" i="1"/>
  <c r="F125" i="1"/>
  <c r="E125" i="1"/>
  <c r="D125" i="1"/>
  <c r="C125" i="1"/>
  <c r="B125" i="1"/>
  <c r="T124" i="1"/>
  <c r="T125" i="1" s="1"/>
  <c r="T126" i="1" s="1"/>
  <c r="S124" i="1"/>
  <c r="S125" i="1" s="1"/>
  <c r="S126" i="1" s="1"/>
  <c r="R124" i="1"/>
  <c r="R125" i="1" s="1"/>
  <c r="R126" i="1" s="1"/>
  <c r="Q124" i="1"/>
  <c r="Q125" i="1" s="1"/>
  <c r="Q126" i="1" s="1"/>
  <c r="P124" i="1"/>
  <c r="P125" i="1" s="1"/>
  <c r="P126" i="1" s="1"/>
  <c r="M124" i="1"/>
  <c r="M125" i="1" s="1"/>
  <c r="M126" i="1" s="1"/>
  <c r="L124" i="1"/>
  <c r="L125" i="1" s="1"/>
  <c r="L126" i="1" s="1"/>
  <c r="K124" i="1"/>
  <c r="K125" i="1" s="1"/>
  <c r="K126" i="1" s="1"/>
  <c r="J124" i="1"/>
  <c r="J125" i="1" s="1"/>
  <c r="J126" i="1" s="1"/>
  <c r="I124" i="1"/>
  <c r="I125" i="1" s="1"/>
  <c r="I126" i="1" s="1"/>
  <c r="F124" i="1"/>
  <c r="E124" i="1"/>
  <c r="D124" i="1"/>
  <c r="C124" i="1"/>
  <c r="B124" i="1"/>
  <c r="T111" i="1"/>
  <c r="T112" i="1" s="1"/>
  <c r="S111" i="1"/>
  <c r="S112" i="1" s="1"/>
  <c r="R111" i="1"/>
  <c r="R112" i="1" s="1"/>
  <c r="AA110" i="1"/>
  <c r="AA111" i="1" s="1"/>
  <c r="AA112" i="1" s="1"/>
  <c r="Z110" i="1"/>
  <c r="Z111" i="1" s="1"/>
  <c r="Z112" i="1" s="1"/>
  <c r="Y110" i="1"/>
  <c r="Y111" i="1" s="1"/>
  <c r="Y112" i="1" s="1"/>
  <c r="X110" i="1"/>
  <c r="X111" i="1" s="1"/>
  <c r="X112" i="1" s="1"/>
  <c r="W110" i="1"/>
  <c r="W111" i="1" s="1"/>
  <c r="W112" i="1" s="1"/>
  <c r="T110" i="1"/>
  <c r="S110" i="1"/>
  <c r="R110" i="1"/>
  <c r="Q110" i="1"/>
  <c r="Q111" i="1" s="1"/>
  <c r="Q112" i="1" s="1"/>
  <c r="P110" i="1"/>
  <c r="P111" i="1" s="1"/>
  <c r="P112" i="1" s="1"/>
  <c r="M110" i="1"/>
  <c r="M111" i="1" s="1"/>
  <c r="M112" i="1" s="1"/>
  <c r="L110" i="1"/>
  <c r="L111" i="1" s="1"/>
  <c r="L112" i="1" s="1"/>
  <c r="K110" i="1"/>
  <c r="K111" i="1" s="1"/>
  <c r="K112" i="1" s="1"/>
  <c r="J110" i="1"/>
  <c r="J111" i="1" s="1"/>
  <c r="J112" i="1" s="1"/>
  <c r="I110" i="1"/>
  <c r="I111" i="1" s="1"/>
  <c r="I112" i="1" s="1"/>
  <c r="F110" i="1"/>
  <c r="F111" i="1" s="1"/>
  <c r="F112" i="1" s="1"/>
  <c r="E110" i="1"/>
  <c r="E111" i="1" s="1"/>
  <c r="E112" i="1" s="1"/>
  <c r="D110" i="1"/>
  <c r="D111" i="1" s="1"/>
  <c r="D112" i="1" s="1"/>
  <c r="C110" i="1"/>
  <c r="C111" i="1" s="1"/>
  <c r="C112" i="1" s="1"/>
  <c r="B110" i="1"/>
  <c r="B111" i="1" s="1"/>
  <c r="B112" i="1" s="1"/>
  <c r="M98" i="1"/>
  <c r="L98" i="1"/>
  <c r="K98" i="1"/>
  <c r="J98" i="1"/>
  <c r="I98" i="1"/>
  <c r="F98" i="1"/>
  <c r="E98" i="1"/>
  <c r="D98" i="1"/>
  <c r="C98" i="1"/>
  <c r="B98" i="1"/>
  <c r="M97" i="1"/>
  <c r="L97" i="1"/>
  <c r="K97" i="1"/>
  <c r="J97" i="1"/>
  <c r="I97" i="1"/>
  <c r="F97" i="1"/>
  <c r="E97" i="1"/>
  <c r="D97" i="1"/>
  <c r="C97" i="1"/>
  <c r="B97" i="1"/>
  <c r="T96" i="1"/>
  <c r="T97" i="1" s="1"/>
  <c r="T98" i="1" s="1"/>
  <c r="S96" i="1"/>
  <c r="S97" i="1" s="1"/>
  <c r="S98" i="1" s="1"/>
  <c r="R96" i="1"/>
  <c r="R97" i="1" s="1"/>
  <c r="R98" i="1" s="1"/>
  <c r="Q96" i="1"/>
  <c r="Q97" i="1" s="1"/>
  <c r="Q98" i="1" s="1"/>
  <c r="P96" i="1"/>
  <c r="P97" i="1" s="1"/>
  <c r="P98" i="1" s="1"/>
  <c r="M96" i="1"/>
  <c r="L96" i="1"/>
  <c r="K96" i="1"/>
  <c r="J96" i="1"/>
  <c r="I96" i="1"/>
  <c r="F96" i="1"/>
  <c r="E96" i="1"/>
  <c r="D96" i="1"/>
  <c r="C96" i="1"/>
  <c r="B96" i="1"/>
  <c r="T84" i="1"/>
  <c r="S84" i="1"/>
  <c r="R84" i="1"/>
  <c r="Q84" i="1"/>
  <c r="T83" i="1"/>
  <c r="S83" i="1"/>
  <c r="R83" i="1"/>
  <c r="Q83" i="1"/>
  <c r="P83" i="1"/>
  <c r="P84" i="1" s="1"/>
  <c r="M83" i="1"/>
  <c r="M84" i="1" s="1"/>
  <c r="L83" i="1"/>
  <c r="L84" i="1" s="1"/>
  <c r="K83" i="1"/>
  <c r="K84" i="1" s="1"/>
  <c r="J83" i="1"/>
  <c r="J84" i="1" s="1"/>
  <c r="B83" i="1"/>
  <c r="B84" i="1" s="1"/>
  <c r="T82" i="1"/>
  <c r="S82" i="1"/>
  <c r="R82" i="1"/>
  <c r="Q82" i="1"/>
  <c r="P82" i="1"/>
  <c r="M82" i="1"/>
  <c r="L82" i="1"/>
  <c r="K82" i="1"/>
  <c r="J82" i="1"/>
  <c r="I82" i="1"/>
  <c r="I83" i="1" s="1"/>
  <c r="I84" i="1" s="1"/>
  <c r="F82" i="1"/>
  <c r="F83" i="1" s="1"/>
  <c r="F84" i="1" s="1"/>
  <c r="E82" i="1"/>
  <c r="E83" i="1" s="1"/>
  <c r="E84" i="1" s="1"/>
  <c r="D82" i="1"/>
  <c r="D83" i="1" s="1"/>
  <c r="D84" i="1" s="1"/>
  <c r="C82" i="1"/>
  <c r="C83" i="1" s="1"/>
  <c r="C84" i="1" s="1"/>
  <c r="B82" i="1"/>
  <c r="T69" i="1"/>
  <c r="T70" i="1" s="1"/>
  <c r="S69" i="1"/>
  <c r="S70" i="1" s="1"/>
  <c r="R69" i="1"/>
  <c r="R70" i="1" s="1"/>
  <c r="Q69" i="1"/>
  <c r="Q70" i="1" s="1"/>
  <c r="P69" i="1"/>
  <c r="P70" i="1" s="1"/>
  <c r="M69" i="1"/>
  <c r="M70" i="1" s="1"/>
  <c r="L69" i="1"/>
  <c r="L70" i="1" s="1"/>
  <c r="K69" i="1"/>
  <c r="K70" i="1" s="1"/>
  <c r="J69" i="1"/>
  <c r="J70" i="1" s="1"/>
  <c r="I69" i="1"/>
  <c r="I70" i="1" s="1"/>
  <c r="T68" i="1"/>
  <c r="S68" i="1"/>
  <c r="R68" i="1"/>
  <c r="Q68" i="1"/>
  <c r="P68" i="1"/>
  <c r="M68" i="1"/>
  <c r="L68" i="1"/>
  <c r="K68" i="1"/>
  <c r="J68" i="1"/>
  <c r="I68" i="1"/>
  <c r="F68" i="1"/>
  <c r="F69" i="1" s="1"/>
  <c r="F70" i="1" s="1"/>
  <c r="E68" i="1"/>
  <c r="E69" i="1" s="1"/>
  <c r="E70" i="1" s="1"/>
  <c r="D68" i="1"/>
  <c r="D69" i="1" s="1"/>
  <c r="D70" i="1" s="1"/>
  <c r="C68" i="1"/>
  <c r="C69" i="1" s="1"/>
  <c r="C70" i="1" s="1"/>
  <c r="B68" i="1"/>
  <c r="B69" i="1" s="1"/>
  <c r="B70" i="1" s="1"/>
  <c r="AA54" i="1"/>
  <c r="AA55" i="1" s="1"/>
  <c r="AA56" i="1" s="1"/>
  <c r="Z54" i="1"/>
  <c r="Z55" i="1" s="1"/>
  <c r="Z56" i="1" s="1"/>
  <c r="Y54" i="1"/>
  <c r="Y55" i="1" s="1"/>
  <c r="Y56" i="1" s="1"/>
  <c r="X54" i="1"/>
  <c r="X55" i="1" s="1"/>
  <c r="X56" i="1" s="1"/>
  <c r="W54" i="1"/>
  <c r="W55" i="1" s="1"/>
  <c r="W56" i="1" s="1"/>
  <c r="T54" i="1"/>
  <c r="T55" i="1" s="1"/>
  <c r="T56" i="1" s="1"/>
  <c r="S54" i="1"/>
  <c r="S55" i="1" s="1"/>
  <c r="S56" i="1" s="1"/>
  <c r="R54" i="1"/>
  <c r="R55" i="1" s="1"/>
  <c r="R56" i="1" s="1"/>
  <c r="Q54" i="1"/>
  <c r="Q55" i="1" s="1"/>
  <c r="Q56" i="1" s="1"/>
  <c r="P54" i="1"/>
  <c r="P55" i="1" s="1"/>
  <c r="P56" i="1" s="1"/>
  <c r="M54" i="1"/>
  <c r="M55" i="1" s="1"/>
  <c r="M56" i="1" s="1"/>
  <c r="L54" i="1"/>
  <c r="L55" i="1" s="1"/>
  <c r="L56" i="1" s="1"/>
  <c r="K54" i="1"/>
  <c r="K55" i="1" s="1"/>
  <c r="K56" i="1" s="1"/>
  <c r="J54" i="1"/>
  <c r="J55" i="1" s="1"/>
  <c r="J56" i="1" s="1"/>
  <c r="I54" i="1"/>
  <c r="I55" i="1" s="1"/>
  <c r="I56" i="1" s="1"/>
  <c r="F54" i="1"/>
  <c r="F55" i="1" s="1"/>
  <c r="F56" i="1" s="1"/>
  <c r="E54" i="1"/>
  <c r="E55" i="1" s="1"/>
  <c r="E56" i="1" s="1"/>
  <c r="D54" i="1"/>
  <c r="D55" i="1" s="1"/>
  <c r="D56" i="1" s="1"/>
  <c r="C54" i="1"/>
  <c r="C55" i="1" s="1"/>
  <c r="C56" i="1" s="1"/>
  <c r="B54" i="1"/>
  <c r="B55" i="1" s="1"/>
  <c r="B56" i="1" s="1"/>
  <c r="S41" i="1"/>
  <c r="R41" i="1"/>
  <c r="Q41" i="1"/>
  <c r="N41" i="1"/>
  <c r="M41" i="1"/>
  <c r="L41" i="1"/>
  <c r="I41" i="1"/>
  <c r="H41" i="1"/>
  <c r="G41" i="1"/>
  <c r="D41" i="1"/>
  <c r="C41" i="1"/>
  <c r="B41" i="1"/>
  <c r="M40" i="1"/>
  <c r="M42" i="1" s="1"/>
  <c r="L40" i="1"/>
  <c r="L42" i="1" s="1"/>
  <c r="I40" i="1"/>
  <c r="I42" i="1" s="1"/>
  <c r="H40" i="1"/>
  <c r="H42" i="1" s="1"/>
  <c r="G40" i="1"/>
  <c r="G42" i="1" s="1"/>
  <c r="D40" i="1"/>
  <c r="D42" i="1" s="1"/>
  <c r="C40" i="1"/>
  <c r="C42" i="1" s="1"/>
  <c r="B40" i="1"/>
  <c r="B42" i="1" s="1"/>
  <c r="S39" i="1"/>
  <c r="S40" i="1" s="1"/>
  <c r="S42" i="1" s="1"/>
  <c r="R39" i="1"/>
  <c r="R40" i="1" s="1"/>
  <c r="R42" i="1" s="1"/>
  <c r="Q39" i="1"/>
  <c r="Q40" i="1" s="1"/>
  <c r="Q42" i="1" s="1"/>
  <c r="N39" i="1"/>
  <c r="N40" i="1" s="1"/>
  <c r="N42" i="1" s="1"/>
  <c r="M39" i="1"/>
  <c r="L39" i="1"/>
  <c r="I39" i="1"/>
  <c r="H39" i="1"/>
  <c r="G39" i="1"/>
  <c r="D39" i="1"/>
  <c r="C39" i="1"/>
  <c r="B39" i="1"/>
  <c r="I27" i="1"/>
  <c r="H27" i="1"/>
  <c r="G27" i="1"/>
  <c r="D27" i="1"/>
  <c r="C27" i="1"/>
  <c r="B27" i="1"/>
  <c r="S26" i="1"/>
  <c r="R26" i="1"/>
  <c r="Q26" i="1"/>
  <c r="N26" i="1"/>
  <c r="M26" i="1"/>
  <c r="L26" i="1"/>
  <c r="I26" i="1"/>
  <c r="H26" i="1"/>
  <c r="G26" i="1"/>
  <c r="D26" i="1"/>
  <c r="C26" i="1"/>
  <c r="B26" i="1"/>
  <c r="S25" i="1"/>
  <c r="S27" i="1" s="1"/>
  <c r="R25" i="1"/>
  <c r="R27" i="1" s="1"/>
  <c r="Q25" i="1"/>
  <c r="Q27" i="1" s="1"/>
  <c r="N25" i="1"/>
  <c r="N27" i="1" s="1"/>
  <c r="M25" i="1"/>
  <c r="M27" i="1" s="1"/>
  <c r="L25" i="1"/>
  <c r="L27" i="1" s="1"/>
  <c r="I25" i="1"/>
  <c r="H25" i="1"/>
  <c r="S24" i="1"/>
  <c r="R24" i="1"/>
  <c r="Q24" i="1"/>
  <c r="N24" i="1"/>
  <c r="M24" i="1"/>
  <c r="L24" i="1"/>
  <c r="I24" i="1"/>
  <c r="H24" i="1"/>
  <c r="G24" i="1"/>
  <c r="G25" i="1" s="1"/>
  <c r="D24" i="1"/>
  <c r="D25" i="1" s="1"/>
  <c r="C24" i="1"/>
  <c r="C25" i="1" s="1"/>
  <c r="B24" i="1"/>
  <c r="B25" i="1" s="1"/>
  <c r="N12" i="1"/>
  <c r="M12" i="1"/>
  <c r="L12" i="1"/>
  <c r="I12" i="1"/>
  <c r="N11" i="1"/>
  <c r="M11" i="1"/>
  <c r="L11" i="1"/>
  <c r="I11" i="1"/>
  <c r="H11" i="1"/>
  <c r="G11" i="1"/>
  <c r="D11" i="1"/>
  <c r="C11" i="1"/>
  <c r="B11" i="1"/>
  <c r="N10" i="1"/>
  <c r="M10" i="1"/>
  <c r="L10" i="1"/>
  <c r="I10" i="1"/>
  <c r="H10" i="1"/>
  <c r="H12" i="1" s="1"/>
  <c r="G10" i="1"/>
  <c r="G12" i="1" s="1"/>
  <c r="N9" i="1"/>
  <c r="M9" i="1"/>
  <c r="L9" i="1"/>
  <c r="I9" i="1"/>
  <c r="H9" i="1"/>
  <c r="G9" i="1"/>
  <c r="D9" i="1"/>
  <c r="D10" i="1" s="1"/>
  <c r="D12" i="1" s="1"/>
  <c r="C9" i="1"/>
  <c r="C10" i="1" s="1"/>
  <c r="C12" i="1" s="1"/>
  <c r="B9" i="1"/>
  <c r="B10" i="1" s="1"/>
  <c r="B12" i="1" s="1"/>
</calcChain>
</file>

<file path=xl/sharedStrings.xml><?xml version="1.0" encoding="utf-8"?>
<sst xmlns="http://schemas.openxmlformats.org/spreadsheetml/2006/main" count="536" uniqueCount="77">
  <si>
    <t>Test 1-1</t>
    <phoneticPr fontId="2" type="noConversion"/>
  </si>
  <si>
    <t>AR=1.8</t>
    <phoneticPr fontId="2" type="noConversion"/>
  </si>
  <si>
    <t>Vertical Print</t>
    <phoneticPr fontId="2" type="noConversion"/>
  </si>
  <si>
    <t>Test 1-2</t>
    <phoneticPr fontId="2" type="noConversion"/>
  </si>
  <si>
    <t>Horizontal Print</t>
    <phoneticPr fontId="2" type="noConversion"/>
  </si>
  <si>
    <t>Test 1-3</t>
    <phoneticPr fontId="2" type="noConversion"/>
  </si>
  <si>
    <t>L</t>
    <phoneticPr fontId="2" type="noConversion"/>
  </si>
  <si>
    <t>tR</t>
    <phoneticPr fontId="2" type="noConversion"/>
  </si>
  <si>
    <t>c</t>
    <phoneticPr fontId="2" type="noConversion"/>
  </si>
  <si>
    <t>Model size</t>
    <phoneticPr fontId="2" type="noConversion"/>
  </si>
  <si>
    <r>
      <rPr>
        <sz val="11"/>
        <color theme="1"/>
        <rFont val="Times New Roman"/>
        <family val="2"/>
      </rPr>
      <t>Actual size</t>
    </r>
    <r>
      <rPr>
        <sz val="11"/>
        <color theme="1"/>
        <rFont val="Times New Roman"/>
        <family val="1"/>
      </rPr>
      <t>1</t>
    </r>
    <phoneticPr fontId="2" type="noConversion"/>
  </si>
  <si>
    <r>
      <rPr>
        <sz val="11"/>
        <color theme="1"/>
        <rFont val="Times New Roman"/>
        <family val="2"/>
      </rPr>
      <t>Actual size</t>
    </r>
    <r>
      <rPr>
        <sz val="11"/>
        <color theme="1"/>
        <rFont val="Times New Roman"/>
        <family val="1"/>
      </rPr>
      <t>2</t>
    </r>
    <phoneticPr fontId="2" type="noConversion"/>
  </si>
  <si>
    <r>
      <rPr>
        <sz val="11"/>
        <color theme="1"/>
        <rFont val="Times New Roman"/>
        <family val="2"/>
      </rPr>
      <t>Actual size</t>
    </r>
    <r>
      <rPr>
        <sz val="11"/>
        <color theme="1"/>
        <rFont val="Times New Roman"/>
        <family val="1"/>
      </rPr>
      <t>3</t>
    </r>
    <phoneticPr fontId="2" type="noConversion"/>
  </si>
  <si>
    <r>
      <rPr>
        <sz val="11"/>
        <color theme="1"/>
        <rFont val="Times New Roman"/>
        <family val="2"/>
      </rPr>
      <t>Actual size</t>
    </r>
    <r>
      <rPr>
        <sz val="11"/>
        <color theme="1"/>
        <rFont val="Times New Roman"/>
        <family val="1"/>
      </rPr>
      <t>4</t>
    </r>
    <phoneticPr fontId="2" type="noConversion"/>
  </si>
  <si>
    <r>
      <rPr>
        <sz val="11"/>
        <color theme="1"/>
        <rFont val="Times New Roman"/>
        <family val="2"/>
      </rPr>
      <t>Actual size</t>
    </r>
    <r>
      <rPr>
        <sz val="11"/>
        <color theme="1"/>
        <rFont val="Times New Roman"/>
        <family val="1"/>
      </rPr>
      <t>5</t>
    </r>
    <phoneticPr fontId="2" type="noConversion"/>
  </si>
  <si>
    <t>Mean</t>
    <phoneticPr fontId="2" type="noConversion"/>
  </si>
  <si>
    <t>Tolerance</t>
    <phoneticPr fontId="2" type="noConversion"/>
  </si>
  <si>
    <t>STD</t>
    <phoneticPr fontId="2" type="noConversion"/>
  </si>
  <si>
    <r>
      <rPr>
        <sz val="11"/>
        <color theme="1"/>
        <rFont val="Times New Roman"/>
        <family val="2"/>
      </rPr>
      <t>Error/</t>
    </r>
    <r>
      <rPr>
        <sz val="11"/>
        <color theme="1"/>
        <rFont val="Times New Roman"/>
        <family val="1"/>
      </rPr>
      <t>%</t>
    </r>
    <phoneticPr fontId="2" type="noConversion"/>
  </si>
  <si>
    <t>Test 2-1</t>
    <phoneticPr fontId="2" type="noConversion"/>
  </si>
  <si>
    <t>AR=2.5</t>
    <phoneticPr fontId="2" type="noConversion"/>
  </si>
  <si>
    <t>Test 2-2</t>
    <phoneticPr fontId="2" type="noConversion"/>
  </si>
  <si>
    <t>Test 2-3</t>
    <phoneticPr fontId="2" type="noConversion"/>
  </si>
  <si>
    <t>Test 2-4</t>
    <phoneticPr fontId="2" type="noConversion"/>
  </si>
  <si>
    <t>CNC</t>
    <phoneticPr fontId="2" type="noConversion"/>
  </si>
  <si>
    <t>L</t>
  </si>
  <si>
    <t>tR</t>
  </si>
  <si>
    <t>c</t>
  </si>
  <si>
    <t>Test 3-1</t>
    <phoneticPr fontId="2" type="noConversion"/>
  </si>
  <si>
    <t>AR=5.0</t>
    <phoneticPr fontId="2" type="noConversion"/>
  </si>
  <si>
    <t>Test 3-2</t>
    <phoneticPr fontId="2" type="noConversion"/>
  </si>
  <si>
    <t>Test 3-3</t>
    <phoneticPr fontId="2" type="noConversion"/>
  </si>
  <si>
    <t>AR=5.0</t>
  </si>
  <si>
    <t>Test 3-4</t>
    <phoneticPr fontId="2" type="noConversion"/>
  </si>
  <si>
    <t>Test 4-1</t>
    <phoneticPr fontId="2" type="noConversion"/>
  </si>
  <si>
    <t>AR=5</t>
    <phoneticPr fontId="2" type="noConversion"/>
  </si>
  <si>
    <t>fef=75</t>
    <phoneticPr fontId="2" type="noConversion"/>
  </si>
  <si>
    <t>Vertical Print</t>
  </si>
  <si>
    <t>Test 4-2</t>
    <phoneticPr fontId="2" type="noConversion"/>
  </si>
  <si>
    <t>Horizontal Print</t>
  </si>
  <si>
    <t>Test 4-3</t>
    <phoneticPr fontId="2" type="noConversion"/>
  </si>
  <si>
    <t>Test 4-4</t>
    <phoneticPr fontId="2" type="noConversion"/>
  </si>
  <si>
    <r>
      <t>CNC</t>
    </r>
    <r>
      <rPr>
        <b/>
        <sz val="14"/>
        <color rgb="FFFF0000"/>
        <rFont val="Times New Roman"/>
        <family val="3"/>
      </rPr>
      <t xml:space="preserve"> Al 6061</t>
    </r>
    <phoneticPr fontId="2" type="noConversion"/>
  </si>
  <si>
    <t>tF</t>
    <phoneticPr fontId="2" type="noConversion"/>
  </si>
  <si>
    <t>c(1-fef)</t>
    <phoneticPr fontId="2" type="noConversion"/>
  </si>
  <si>
    <t>c(1-fef)</t>
  </si>
  <si>
    <t>Test 5-1</t>
    <phoneticPr fontId="2" type="noConversion"/>
  </si>
  <si>
    <t>fef=50</t>
    <phoneticPr fontId="2" type="noConversion"/>
  </si>
  <si>
    <t>Test 5-2</t>
    <phoneticPr fontId="2" type="noConversion"/>
  </si>
  <si>
    <t>Test 5-3</t>
    <phoneticPr fontId="2" type="noConversion"/>
  </si>
  <si>
    <t>Test 6-1</t>
    <phoneticPr fontId="2" type="noConversion"/>
  </si>
  <si>
    <t>fef=25</t>
    <phoneticPr fontId="2" type="noConversion"/>
  </si>
  <si>
    <t>Test 6-2</t>
    <phoneticPr fontId="2" type="noConversion"/>
  </si>
  <si>
    <t>Test 6-3</t>
    <phoneticPr fontId="2" type="noConversion"/>
  </si>
  <si>
    <t>Model size</t>
  </si>
  <si>
    <r>
      <rPr>
        <sz val="11"/>
        <color theme="1"/>
        <rFont val="Times New Roman"/>
        <family val="2"/>
      </rPr>
      <t>Actual size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</si>
  <si>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Times New Roman"/>
        <family val="2"/>
      </rPr>
      <t>Actual size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</si>
  <si>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Times New Roman"/>
        <family val="2"/>
      </rPr>
      <t>Actual size</t>
    </r>
    <r>
      <rPr>
        <sz val="11"/>
        <color theme="1"/>
        <rFont val="Times New Roman"/>
        <family val="1"/>
      </rPr>
      <t>3</t>
    </r>
  </si>
  <si>
    <r>
      <rPr>
        <sz val="11"/>
        <color theme="1"/>
        <rFont val="Times New Roman"/>
        <family val="2"/>
      </rPr>
      <t>Actual size</t>
    </r>
    <r>
      <rPr>
        <sz val="11"/>
        <color theme="1"/>
        <rFont val="Times New Roman"/>
        <family val="1"/>
      </rPr>
      <t>4</t>
    </r>
  </si>
  <si>
    <r>
      <rPr>
        <sz val="11"/>
        <color theme="1"/>
        <rFont val="Times New Roman"/>
        <family val="2"/>
      </rPr>
      <t>Actual size</t>
    </r>
    <r>
      <rPr>
        <sz val="11"/>
        <color theme="1"/>
        <rFont val="Times New Roman"/>
        <family val="1"/>
      </rPr>
      <t>5</t>
    </r>
  </si>
  <si>
    <t>Mean</t>
  </si>
  <si>
    <t>Tolerance</t>
  </si>
  <si>
    <r>
      <rPr>
        <sz val="11"/>
        <color theme="1"/>
        <rFont val="Times New Roman"/>
        <family val="2"/>
      </rPr>
      <t>Error/</t>
    </r>
    <r>
      <rPr>
        <sz val="11"/>
        <color theme="1"/>
        <rFont val="Times New Roman"/>
        <family val="1"/>
      </rPr>
      <t>%</t>
    </r>
  </si>
  <si>
    <t>Test 7-1</t>
    <phoneticPr fontId="2" type="noConversion"/>
  </si>
  <si>
    <t>AR=6</t>
    <phoneticPr fontId="2" type="noConversion"/>
  </si>
  <si>
    <t>Test 7-2</t>
    <phoneticPr fontId="2" type="noConversion"/>
  </si>
  <si>
    <t>Test 7-3</t>
    <phoneticPr fontId="2" type="noConversion"/>
  </si>
  <si>
    <t>Test 8-1</t>
    <phoneticPr fontId="2" type="noConversion"/>
  </si>
  <si>
    <t>AR=4</t>
    <phoneticPr fontId="2" type="noConversion"/>
  </si>
  <si>
    <t>Test 8-2</t>
    <phoneticPr fontId="2" type="noConversion"/>
  </si>
  <si>
    <t>Test 8-3</t>
    <phoneticPr fontId="2" type="noConversion"/>
  </si>
  <si>
    <t>Test 8-4</t>
    <phoneticPr fontId="2" type="noConversion"/>
  </si>
  <si>
    <t>CNC Al 6061</t>
    <phoneticPr fontId="2" type="noConversion"/>
  </si>
  <si>
    <t>Test 9-1</t>
    <phoneticPr fontId="2" type="noConversion"/>
  </si>
  <si>
    <t>AR=3</t>
    <phoneticPr fontId="2" type="noConversion"/>
  </si>
  <si>
    <t>Test 9-2</t>
    <phoneticPr fontId="2" type="noConversion"/>
  </si>
  <si>
    <t>Test 9-3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</si>
</sst>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0_ "/>
    <numFmt numFmtId="178" formatCode="0.000_ "/>
  </numFmts>
  <fonts count="7" x14ac:knownFonts="1">
    <font>
      <sz val="11"/>
      <color theme="1"/>
      <name val="等线"/>
      <family val="2"/>
      <charset val="134"/>
      <scheme val="minor"/>
    </font>
    <font>
      <b/>
      <sz val="14"/>
      <color rgb="FFFF0000"/>
      <name val="Times New Roman"/>
      <family val="1"/>
    </font>
    <font>
      <sz val="9"/>
      <name val="等线"/>
      <family val="2"/>
      <charset val="134"/>
      <scheme val="minor"/>
    </font>
    <font>
      <b/>
      <sz val="14"/>
      <color rgb="FFFF0000"/>
      <name val="Times New Roman"/>
      <family val="3"/>
    </font>
    <font>
      <sz val="11"/>
      <color theme="1"/>
      <name val="Times New Roman"/>
      <family val="1"/>
    </font>
    <font>
      <sz val="11"/>
      <color theme="1"/>
      <name val="Times New Roman"/>
      <family val="2"/>
    </font>
    <font>
      <b/>
      <sz val="11"/>
      <color rgb="FFC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4142-769E-4B22-8323-8CA38EFF135E}">
  <dimension ref="A1:AA126"/>
  <sheetViews>
    <sheetView tabSelected="1" topLeftCell="A71" zoomScale="70" zoomScaleNormal="70" workbookViewId="0">
      <selection activeCell="W105" sqref="W105"/>
    </sheetView>
  </sheetViews>
  <sheetFormatPr defaultColWidth="9.125" defaultRowHeight="15" x14ac:dyDescent="0.2"/>
  <cols>
    <col min="1" max="1" width="15.75" style="4" customWidth="1"/>
    <col min="2" max="3" width="10.5" style="4" customWidth="1"/>
    <col min="4" max="4" width="17.375" style="4" customWidth="1"/>
    <col min="5" max="8" width="10.5" style="4" customWidth="1"/>
    <col min="9" max="9" width="19.125" style="4" customWidth="1"/>
    <col min="10" max="13" width="10.5" style="4" customWidth="1"/>
    <col min="14" max="14" width="21.375" style="4" customWidth="1"/>
    <col min="15" max="27" width="10.5" style="4" customWidth="1"/>
    <col min="28" max="16384" width="9.125" style="4"/>
  </cols>
  <sheetData>
    <row r="1" spans="1:19" ht="27" customHeight="1" x14ac:dyDescent="0.2">
      <c r="A1" s="1" t="s">
        <v>0</v>
      </c>
      <c r="B1" s="1"/>
      <c r="C1" s="2" t="s">
        <v>1</v>
      </c>
      <c r="D1" s="3" t="s">
        <v>2</v>
      </c>
      <c r="E1" s="2"/>
      <c r="F1" s="1" t="s">
        <v>3</v>
      </c>
      <c r="G1" s="1"/>
      <c r="H1" s="2" t="s">
        <v>1</v>
      </c>
      <c r="I1" s="3" t="s">
        <v>4</v>
      </c>
      <c r="K1" s="1" t="s">
        <v>5</v>
      </c>
      <c r="L1" s="1"/>
      <c r="M1" s="2" t="s">
        <v>1</v>
      </c>
      <c r="N1" s="3" t="s">
        <v>2</v>
      </c>
    </row>
    <row r="2" spans="1:19" ht="15" customHeight="1" x14ac:dyDescent="0.2">
      <c r="A2" s="5"/>
      <c r="B2" s="5" t="s">
        <v>6</v>
      </c>
      <c r="C2" s="5" t="s">
        <v>7</v>
      </c>
      <c r="D2" s="5" t="s">
        <v>8</v>
      </c>
      <c r="E2" s="6"/>
      <c r="F2" s="5"/>
      <c r="G2" s="5" t="s">
        <v>6</v>
      </c>
      <c r="H2" s="5" t="s">
        <v>7</v>
      </c>
      <c r="I2" s="5" t="s">
        <v>8</v>
      </c>
      <c r="K2" s="5"/>
      <c r="L2" s="5" t="s">
        <v>6</v>
      </c>
      <c r="M2" s="5" t="s">
        <v>7</v>
      </c>
      <c r="N2" s="5" t="s">
        <v>8</v>
      </c>
    </row>
    <row r="3" spans="1:19" ht="15" customHeight="1" x14ac:dyDescent="0.2">
      <c r="A3" s="7" t="s">
        <v>9</v>
      </c>
      <c r="B3" s="5">
        <v>109</v>
      </c>
      <c r="C3" s="5">
        <v>4</v>
      </c>
      <c r="D3" s="5">
        <v>50</v>
      </c>
      <c r="E3" s="6"/>
      <c r="F3" s="7" t="s">
        <v>9</v>
      </c>
      <c r="G3" s="5">
        <v>109</v>
      </c>
      <c r="H3" s="5">
        <v>4</v>
      </c>
      <c r="I3" s="5">
        <v>50</v>
      </c>
      <c r="K3" s="7" t="s">
        <v>9</v>
      </c>
      <c r="L3" s="5">
        <v>109</v>
      </c>
      <c r="M3" s="5">
        <v>4</v>
      </c>
      <c r="N3" s="5">
        <v>50</v>
      </c>
    </row>
    <row r="4" spans="1:19" ht="15" customHeight="1" x14ac:dyDescent="0.2">
      <c r="A4" s="7" t="s">
        <v>10</v>
      </c>
      <c r="B4" s="5">
        <v>108.61</v>
      </c>
      <c r="C4" s="5">
        <v>4.0259999999999998</v>
      </c>
      <c r="D4" s="5">
        <v>50.24</v>
      </c>
      <c r="E4" s="6"/>
      <c r="F4" s="7" t="s">
        <v>10</v>
      </c>
      <c r="G4" s="8">
        <v>108.91</v>
      </c>
      <c r="H4" s="5">
        <v>3.9529999999999998</v>
      </c>
      <c r="I4" s="8">
        <v>50</v>
      </c>
      <c r="K4" s="7" t="s">
        <v>10</v>
      </c>
      <c r="L4" s="5">
        <v>108.86</v>
      </c>
      <c r="M4" s="9">
        <v>4.0010000000000003</v>
      </c>
      <c r="N4" s="5">
        <v>50.08</v>
      </c>
    </row>
    <row r="5" spans="1:19" ht="15" customHeight="1" x14ac:dyDescent="0.2">
      <c r="A5" s="7" t="s">
        <v>11</v>
      </c>
      <c r="B5" s="5">
        <v>108.6</v>
      </c>
      <c r="C5" s="5">
        <v>4.0209999999999999</v>
      </c>
      <c r="D5" s="5">
        <v>50.32</v>
      </c>
      <c r="E5" s="6"/>
      <c r="F5" s="7" t="s">
        <v>11</v>
      </c>
      <c r="G5" s="8">
        <v>109.05</v>
      </c>
      <c r="H5" s="5">
        <v>3.9119999999999999</v>
      </c>
      <c r="I5" s="8">
        <v>50.17</v>
      </c>
      <c r="K5" s="7" t="s">
        <v>11</v>
      </c>
      <c r="L5" s="5">
        <v>108.91</v>
      </c>
      <c r="M5" s="9">
        <v>4.0190000000000001</v>
      </c>
      <c r="N5" s="5">
        <v>50.08</v>
      </c>
    </row>
    <row r="6" spans="1:19" ht="15" customHeight="1" x14ac:dyDescent="0.2">
      <c r="A6" s="7" t="s">
        <v>12</v>
      </c>
      <c r="B6" s="5">
        <v>108.59</v>
      </c>
      <c r="C6" s="5">
        <v>4.0060000000000002</v>
      </c>
      <c r="D6" s="5">
        <v>50.05</v>
      </c>
      <c r="E6" s="6"/>
      <c r="F6" s="7" t="s">
        <v>12</v>
      </c>
      <c r="G6" s="8">
        <v>108.96</v>
      </c>
      <c r="H6" s="5">
        <v>3.891</v>
      </c>
      <c r="I6" s="8">
        <v>50.13</v>
      </c>
      <c r="K6" s="7" t="s">
        <v>12</v>
      </c>
      <c r="L6" s="5">
        <v>108.86</v>
      </c>
      <c r="M6" s="9">
        <v>4.0190000000000001</v>
      </c>
      <c r="N6" s="5">
        <v>50.09</v>
      </c>
    </row>
    <row r="7" spans="1:19" ht="15" customHeight="1" x14ac:dyDescent="0.2">
      <c r="A7" s="7" t="s">
        <v>13</v>
      </c>
      <c r="B7" s="5">
        <v>108.63</v>
      </c>
      <c r="C7" s="5">
        <v>4.0170000000000003</v>
      </c>
      <c r="D7" s="5">
        <v>50.31</v>
      </c>
      <c r="E7" s="6"/>
      <c r="F7" s="7" t="s">
        <v>13</v>
      </c>
      <c r="G7" s="8">
        <v>109</v>
      </c>
      <c r="H7" s="5">
        <v>3.8719999999999999</v>
      </c>
      <c r="I7" s="8">
        <v>50.08</v>
      </c>
      <c r="K7" s="7" t="s">
        <v>13</v>
      </c>
      <c r="L7" s="5">
        <v>109.06</v>
      </c>
      <c r="M7" s="9">
        <v>4.0110000000000001</v>
      </c>
      <c r="N7" s="5">
        <v>50.11</v>
      </c>
    </row>
    <row r="8" spans="1:19" ht="15" customHeight="1" x14ac:dyDescent="0.2">
      <c r="A8" s="7" t="s">
        <v>14</v>
      </c>
      <c r="B8" s="5">
        <v>108.59</v>
      </c>
      <c r="C8" s="5">
        <v>4.0389999999999997</v>
      </c>
      <c r="D8" s="5">
        <v>50.31</v>
      </c>
      <c r="E8" s="6"/>
      <c r="F8" s="7" t="s">
        <v>14</v>
      </c>
      <c r="G8" s="8">
        <v>108.97</v>
      </c>
      <c r="H8" s="5">
        <v>3.972</v>
      </c>
      <c r="I8" s="8">
        <v>50.1</v>
      </c>
      <c r="K8" s="7" t="s">
        <v>14</v>
      </c>
      <c r="L8" s="5">
        <v>108.8</v>
      </c>
      <c r="M8" s="9">
        <v>4.01</v>
      </c>
      <c r="N8" s="5">
        <v>50.1</v>
      </c>
    </row>
    <row r="9" spans="1:19" ht="15" customHeight="1" x14ac:dyDescent="0.2">
      <c r="A9" s="10" t="s">
        <v>15</v>
      </c>
      <c r="B9" s="8">
        <f>AVERAGE(B4:B8)</f>
        <v>108.604</v>
      </c>
      <c r="C9" s="9">
        <f>AVERAGE(C4:C8)</f>
        <v>4.0218000000000007</v>
      </c>
      <c r="D9" s="8">
        <f>AVERAGE(D4:D8)</f>
        <v>50.246000000000002</v>
      </c>
      <c r="E9" s="11"/>
      <c r="F9" s="10" t="s">
        <v>15</v>
      </c>
      <c r="G9" s="8">
        <f>AVERAGE(G4:G8)</f>
        <v>108.97799999999999</v>
      </c>
      <c r="H9" s="9">
        <f>AVERAGE(H4:H8)</f>
        <v>3.9200000000000004</v>
      </c>
      <c r="I9" s="8">
        <f>AVERAGE(I4:I8)</f>
        <v>50.095999999999997</v>
      </c>
      <c r="K9" s="10" t="s">
        <v>15</v>
      </c>
      <c r="L9" s="8">
        <f>AVERAGE(L4:L8)</f>
        <v>108.898</v>
      </c>
      <c r="M9" s="9">
        <f>AVERAGE(M4:M8)</f>
        <v>4.0120000000000005</v>
      </c>
      <c r="N9" s="8">
        <f>AVERAGE(N4:N8)</f>
        <v>50.091999999999999</v>
      </c>
    </row>
    <row r="10" spans="1:19" ht="15" customHeight="1" x14ac:dyDescent="0.2">
      <c r="A10" s="10" t="s">
        <v>16</v>
      </c>
      <c r="B10" s="12">
        <f>B3-B9</f>
        <v>0.3960000000000008</v>
      </c>
      <c r="C10" s="13">
        <f>C3-C9</f>
        <v>-2.1800000000000708E-2</v>
      </c>
      <c r="D10" s="12">
        <f>D3-D9</f>
        <v>-0.24600000000000222</v>
      </c>
      <c r="E10" s="14"/>
      <c r="F10" s="10" t="s">
        <v>16</v>
      </c>
      <c r="G10" s="12">
        <f>G3-G9</f>
        <v>2.2000000000005571E-2</v>
      </c>
      <c r="H10" s="13">
        <f>H3-H9</f>
        <v>7.9999999999999627E-2</v>
      </c>
      <c r="I10" s="12">
        <f>I3-I9</f>
        <v>-9.5999999999996533E-2</v>
      </c>
      <c r="K10" s="10" t="s">
        <v>16</v>
      </c>
      <c r="L10" s="12">
        <f>L3-L9</f>
        <v>0.10200000000000387</v>
      </c>
      <c r="M10" s="13">
        <f>M3-M9</f>
        <v>-1.2000000000000455E-2</v>
      </c>
      <c r="N10" s="12">
        <f>N3-N9</f>
        <v>-9.1999999999998749E-2</v>
      </c>
    </row>
    <row r="11" spans="1:19" ht="15" customHeight="1" x14ac:dyDescent="0.2">
      <c r="A11" s="10" t="s">
        <v>17</v>
      </c>
      <c r="B11" s="12">
        <f>STDEV(B4:B8)</f>
        <v>1.6733200530678605E-2</v>
      </c>
      <c r="C11" s="12">
        <f>STDEV(C4:C8)</f>
        <v>1.2111977542911578E-2</v>
      </c>
      <c r="D11" s="12">
        <f>STDEV(D4:D8)</f>
        <v>0.11414902540101002</v>
      </c>
      <c r="E11" s="15"/>
      <c r="F11" s="10" t="s">
        <v>17</v>
      </c>
      <c r="G11" s="12">
        <f>STDEV(G4:G8)</f>
        <v>5.1672042731055974E-2</v>
      </c>
      <c r="H11" s="12">
        <f>STDEV(H4:H8)</f>
        <v>4.1838977042944051E-2</v>
      </c>
      <c r="I11" s="12">
        <f>STDEV(I4:I8)</f>
        <v>6.3482280992416484E-2</v>
      </c>
      <c r="K11" s="10" t="s">
        <v>17</v>
      </c>
      <c r="L11" s="12">
        <f>STDEV(L4:L8)</f>
        <v>9.8590060350931555E-2</v>
      </c>
      <c r="M11" s="12">
        <f>STDEV(M4:M8)</f>
        <v>7.4833147735478304E-3</v>
      </c>
      <c r="N11" s="12">
        <f>STDEV(N4:N8)</f>
        <v>1.3038404810405973E-2</v>
      </c>
    </row>
    <row r="12" spans="1:19" ht="15" customHeight="1" x14ac:dyDescent="0.2">
      <c r="A12" s="10" t="s">
        <v>18</v>
      </c>
      <c r="B12" s="16">
        <f>B10/B3*100</f>
        <v>0.36330275229357872</v>
      </c>
      <c r="C12" s="16">
        <f>C10/C3*100</f>
        <v>-0.54500000000001769</v>
      </c>
      <c r="D12" s="16">
        <f>D10/D3*100</f>
        <v>-0.49200000000000443</v>
      </c>
      <c r="F12" s="10" t="s">
        <v>18</v>
      </c>
      <c r="G12" s="16">
        <f>G10/G3*100</f>
        <v>2.0183486238537218E-2</v>
      </c>
      <c r="H12" s="16">
        <f>H10/H3*100</f>
        <v>1.9999999999999907</v>
      </c>
      <c r="I12" s="16">
        <f>I10/I3*100</f>
        <v>-0.19199999999999307</v>
      </c>
      <c r="K12" s="10" t="s">
        <v>18</v>
      </c>
      <c r="L12" s="16">
        <f>L10/L3*100</f>
        <v>9.3577981651379705E-2</v>
      </c>
      <c r="M12" s="16">
        <f>M10/M3*100</f>
        <v>-0.30000000000001137</v>
      </c>
      <c r="N12" s="16">
        <f>N10/N3*100</f>
        <v>-0.1839999999999975</v>
      </c>
    </row>
    <row r="13" spans="1:19" ht="15" customHeight="1" x14ac:dyDescent="0.2"/>
    <row r="14" spans="1:19" ht="15" customHeight="1" x14ac:dyDescent="0.2"/>
    <row r="15" spans="1:19" ht="15" customHeight="1" x14ac:dyDescent="0.2"/>
    <row r="16" spans="1:19" ht="15" customHeight="1" x14ac:dyDescent="0.2">
      <c r="A16" s="1" t="s">
        <v>19</v>
      </c>
      <c r="B16" s="1"/>
      <c r="C16" s="2" t="s">
        <v>20</v>
      </c>
      <c r="D16" s="3" t="s">
        <v>2</v>
      </c>
      <c r="E16" s="2"/>
      <c r="F16" s="1" t="s">
        <v>21</v>
      </c>
      <c r="G16" s="1"/>
      <c r="H16" s="2" t="s">
        <v>20</v>
      </c>
      <c r="I16" s="3" t="s">
        <v>4</v>
      </c>
      <c r="K16" s="1" t="s">
        <v>22</v>
      </c>
      <c r="L16" s="1"/>
      <c r="M16" s="2" t="s">
        <v>20</v>
      </c>
      <c r="N16" s="3" t="s">
        <v>4</v>
      </c>
      <c r="P16" s="1" t="s">
        <v>23</v>
      </c>
      <c r="Q16" s="1"/>
      <c r="R16" s="2" t="s">
        <v>20</v>
      </c>
      <c r="S16" s="2" t="s">
        <v>24</v>
      </c>
    </row>
    <row r="17" spans="1:19" ht="15" customHeight="1" x14ac:dyDescent="0.2">
      <c r="A17" s="5"/>
      <c r="B17" s="5" t="s">
        <v>6</v>
      </c>
      <c r="C17" s="5" t="s">
        <v>7</v>
      </c>
      <c r="D17" s="5" t="s">
        <v>8</v>
      </c>
      <c r="E17" s="6"/>
      <c r="F17" s="5"/>
      <c r="G17" s="5" t="s">
        <v>6</v>
      </c>
      <c r="H17" s="5" t="s">
        <v>7</v>
      </c>
      <c r="I17" s="5" t="s">
        <v>8</v>
      </c>
      <c r="K17" s="5"/>
      <c r="L17" s="5" t="s">
        <v>6</v>
      </c>
      <c r="M17" s="5" t="s">
        <v>7</v>
      </c>
      <c r="N17" s="5" t="s">
        <v>8</v>
      </c>
      <c r="P17" s="5"/>
      <c r="Q17" s="5" t="s">
        <v>25</v>
      </c>
      <c r="R17" s="5" t="s">
        <v>26</v>
      </c>
      <c r="S17" s="5" t="s">
        <v>27</v>
      </c>
    </row>
    <row r="18" spans="1:19" ht="15" customHeight="1" x14ac:dyDescent="0.2">
      <c r="A18" s="7" t="s">
        <v>9</v>
      </c>
      <c r="B18" s="5">
        <v>144</v>
      </c>
      <c r="C18" s="5">
        <v>4</v>
      </c>
      <c r="D18" s="5">
        <v>50</v>
      </c>
      <c r="E18" s="6"/>
      <c r="F18" s="7" t="s">
        <v>9</v>
      </c>
      <c r="G18" s="5">
        <v>144</v>
      </c>
      <c r="H18" s="5">
        <v>4</v>
      </c>
      <c r="I18" s="5">
        <v>50</v>
      </c>
      <c r="K18" s="7" t="s">
        <v>9</v>
      </c>
      <c r="L18" s="5">
        <v>144</v>
      </c>
      <c r="M18" s="5">
        <v>4</v>
      </c>
      <c r="N18" s="5">
        <v>50</v>
      </c>
      <c r="P18" s="7" t="s">
        <v>9</v>
      </c>
      <c r="Q18" s="5">
        <v>144</v>
      </c>
      <c r="R18" s="5">
        <v>4</v>
      </c>
      <c r="S18" s="5">
        <v>50</v>
      </c>
    </row>
    <row r="19" spans="1:19" ht="15" customHeight="1" x14ac:dyDescent="0.2">
      <c r="A19" s="7" t="s">
        <v>10</v>
      </c>
      <c r="B19" s="5">
        <v>143.46</v>
      </c>
      <c r="C19" s="5">
        <v>3.9740000000000002</v>
      </c>
      <c r="D19" s="5">
        <v>50.04</v>
      </c>
      <c r="E19" s="6"/>
      <c r="F19" s="7" t="s">
        <v>10</v>
      </c>
      <c r="G19" s="5">
        <v>143.59</v>
      </c>
      <c r="H19" s="5">
        <v>3.9630000000000001</v>
      </c>
      <c r="I19" s="5">
        <v>49.92</v>
      </c>
      <c r="K19" s="7" t="s">
        <v>10</v>
      </c>
      <c r="L19" s="5">
        <v>143.66</v>
      </c>
      <c r="M19" s="5">
        <v>3.9630000000000001</v>
      </c>
      <c r="N19" s="5">
        <v>50.03</v>
      </c>
      <c r="P19" s="7" t="s">
        <v>10</v>
      </c>
      <c r="Q19" s="5">
        <v>143.97</v>
      </c>
      <c r="R19" s="5">
        <v>3.9849999999999999</v>
      </c>
      <c r="S19" s="5">
        <v>49.98</v>
      </c>
    </row>
    <row r="20" spans="1:19" ht="15" customHeight="1" x14ac:dyDescent="0.2">
      <c r="A20" s="7" t="s">
        <v>11</v>
      </c>
      <c r="B20" s="5">
        <v>143.30000000000001</v>
      </c>
      <c r="C20" s="5">
        <v>3.968</v>
      </c>
      <c r="D20" s="5">
        <v>50.18</v>
      </c>
      <c r="E20" s="6"/>
      <c r="F20" s="7" t="s">
        <v>11</v>
      </c>
      <c r="G20" s="5">
        <v>143.53</v>
      </c>
      <c r="H20" s="5">
        <v>3.9870000000000001</v>
      </c>
      <c r="I20" s="5">
        <v>49.85</v>
      </c>
      <c r="K20" s="7" t="s">
        <v>11</v>
      </c>
      <c r="L20" s="5">
        <v>143.68</v>
      </c>
      <c r="M20" s="5">
        <v>3.9870000000000001</v>
      </c>
      <c r="N20" s="5">
        <v>50.05</v>
      </c>
      <c r="P20" s="7" t="s">
        <v>11</v>
      </c>
      <c r="Q20" s="5">
        <v>143.96</v>
      </c>
      <c r="R20" s="5">
        <v>3.9849999999999999</v>
      </c>
      <c r="S20" s="5">
        <v>49.95</v>
      </c>
    </row>
    <row r="21" spans="1:19" ht="15" customHeight="1" x14ac:dyDescent="0.2">
      <c r="A21" s="7" t="s">
        <v>12</v>
      </c>
      <c r="B21" s="5">
        <v>143.33000000000001</v>
      </c>
      <c r="C21" s="5">
        <v>3.9569999999999999</v>
      </c>
      <c r="D21" s="5">
        <v>50.03</v>
      </c>
      <c r="E21" s="6"/>
      <c r="F21" s="7" t="s">
        <v>12</v>
      </c>
      <c r="G21" s="5">
        <v>143.46</v>
      </c>
      <c r="H21" s="5">
        <v>4.0259999999999998</v>
      </c>
      <c r="I21" s="5">
        <v>49.85</v>
      </c>
      <c r="K21" s="7" t="s">
        <v>12</v>
      </c>
      <c r="L21" s="5">
        <v>143.59</v>
      </c>
      <c r="M21" s="5">
        <v>4.0259999999999998</v>
      </c>
      <c r="N21" s="5">
        <v>49.97</v>
      </c>
      <c r="P21" s="7" t="s">
        <v>12</v>
      </c>
      <c r="Q21" s="5">
        <v>143.96</v>
      </c>
      <c r="R21" s="5">
        <v>3.9830000000000001</v>
      </c>
      <c r="S21" s="5">
        <v>49.97</v>
      </c>
    </row>
    <row r="22" spans="1:19" ht="15" customHeight="1" x14ac:dyDescent="0.2">
      <c r="A22" s="7" t="s">
        <v>13</v>
      </c>
      <c r="B22" s="5">
        <v>143.32</v>
      </c>
      <c r="C22" s="5">
        <v>3.9889999999999999</v>
      </c>
      <c r="D22" s="5">
        <v>50.44</v>
      </c>
      <c r="E22" s="6"/>
      <c r="F22" s="7" t="s">
        <v>13</v>
      </c>
      <c r="G22" s="5">
        <v>143.38999999999999</v>
      </c>
      <c r="H22" s="5">
        <v>3.9860000000000002</v>
      </c>
      <c r="I22" s="5">
        <v>49.85</v>
      </c>
      <c r="K22" s="7" t="s">
        <v>13</v>
      </c>
      <c r="L22" s="5">
        <v>143.72</v>
      </c>
      <c r="M22" s="5">
        <v>3.9860000000000002</v>
      </c>
      <c r="N22" s="5">
        <v>50.09</v>
      </c>
      <c r="P22" s="7" t="s">
        <v>13</v>
      </c>
      <c r="Q22" s="5">
        <v>143.96</v>
      </c>
      <c r="R22" s="5">
        <v>3.988</v>
      </c>
      <c r="S22" s="5">
        <v>49.97</v>
      </c>
    </row>
    <row r="23" spans="1:19" ht="15" customHeight="1" x14ac:dyDescent="0.2">
      <c r="A23" s="7" t="s">
        <v>14</v>
      </c>
      <c r="B23" s="5">
        <v>143.44</v>
      </c>
      <c r="C23" s="5">
        <v>4.0170000000000003</v>
      </c>
      <c r="D23" s="5">
        <v>50.27</v>
      </c>
      <c r="E23" s="6"/>
      <c r="F23" s="7" t="s">
        <v>14</v>
      </c>
      <c r="G23" s="5">
        <v>143.4</v>
      </c>
      <c r="H23" s="5">
        <v>3.9750000000000001</v>
      </c>
      <c r="I23" s="5">
        <v>49.94</v>
      </c>
      <c r="K23" s="7" t="s">
        <v>14</v>
      </c>
      <c r="L23" s="5">
        <v>143.53</v>
      </c>
      <c r="M23" s="5">
        <v>3.9750000000000001</v>
      </c>
      <c r="N23" s="5">
        <v>49.99</v>
      </c>
      <c r="P23" s="7" t="s">
        <v>14</v>
      </c>
      <c r="Q23" s="5">
        <v>143.94999999999999</v>
      </c>
      <c r="R23" s="5">
        <v>3.9910000000000001</v>
      </c>
      <c r="S23" s="5">
        <v>49.95</v>
      </c>
    </row>
    <row r="24" spans="1:19" ht="15" customHeight="1" x14ac:dyDescent="0.2">
      <c r="A24" s="10" t="s">
        <v>15</v>
      </c>
      <c r="B24" s="8">
        <f>AVERAGE(B19:B23)</f>
        <v>143.37000000000003</v>
      </c>
      <c r="C24" s="9">
        <f>AVERAGE(C19:C23)</f>
        <v>3.9810000000000003</v>
      </c>
      <c r="D24" s="8">
        <f>AVERAGE(D19:D23)</f>
        <v>50.192</v>
      </c>
      <c r="E24" s="11"/>
      <c r="F24" s="10" t="s">
        <v>15</v>
      </c>
      <c r="G24" s="8">
        <f>AVERAGE(G19:G23)</f>
        <v>143.47399999999999</v>
      </c>
      <c r="H24" s="9">
        <f>AVERAGE(H19:H23)</f>
        <v>3.9874000000000001</v>
      </c>
      <c r="I24" s="8">
        <f>AVERAGE(I19:I23)</f>
        <v>49.881999999999998</v>
      </c>
      <c r="K24" s="10" t="s">
        <v>15</v>
      </c>
      <c r="L24" s="8">
        <f>AVERAGE(L19:L23)</f>
        <v>143.63600000000002</v>
      </c>
      <c r="M24" s="9">
        <f>AVERAGE(M19:M23)</f>
        <v>3.9874000000000001</v>
      </c>
      <c r="N24" s="8">
        <f>AVERAGE(N19:N23)</f>
        <v>50.026000000000003</v>
      </c>
      <c r="P24" s="10" t="s">
        <v>15</v>
      </c>
      <c r="Q24" s="8">
        <f>AVERAGE(Q19:Q23)</f>
        <v>143.95999999999998</v>
      </c>
      <c r="R24" s="9">
        <f>AVERAGE(R19:R23)</f>
        <v>3.9863999999999997</v>
      </c>
      <c r="S24" s="8">
        <f>AVERAGE(S19:S23)</f>
        <v>49.963999999999999</v>
      </c>
    </row>
    <row r="25" spans="1:19" ht="15" customHeight="1" x14ac:dyDescent="0.2">
      <c r="A25" s="10" t="s">
        <v>16</v>
      </c>
      <c r="B25" s="12">
        <f>B18-B24</f>
        <v>0.62999999999996703</v>
      </c>
      <c r="C25" s="13">
        <f>C18-C24</f>
        <v>1.8999999999999684E-2</v>
      </c>
      <c r="D25" s="12">
        <f>D18-D24</f>
        <v>-0.19200000000000017</v>
      </c>
      <c r="E25" s="14"/>
      <c r="F25" s="10" t="s">
        <v>16</v>
      </c>
      <c r="G25" s="12">
        <f>G18-G24</f>
        <v>0.52600000000001046</v>
      </c>
      <c r="H25" s="13">
        <f>H18-H24</f>
        <v>1.2599999999999945E-2</v>
      </c>
      <c r="I25" s="12">
        <f>I18-I24</f>
        <v>0.1180000000000021</v>
      </c>
      <c r="K25" s="10" t="s">
        <v>16</v>
      </c>
      <c r="L25" s="12">
        <f>L18-L24</f>
        <v>0.3639999999999759</v>
      </c>
      <c r="M25" s="13">
        <f>M18-M24</f>
        <v>1.2599999999999945E-2</v>
      </c>
      <c r="N25" s="12">
        <f>N18-N24</f>
        <v>-2.6000000000003354E-2</v>
      </c>
      <c r="P25" s="10" t="s">
        <v>16</v>
      </c>
      <c r="Q25" s="12">
        <f>Q18-Q24</f>
        <v>4.0000000000020464E-2</v>
      </c>
      <c r="R25" s="13">
        <f>R18-R24</f>
        <v>1.3600000000000279E-2</v>
      </c>
      <c r="S25" s="12">
        <f>S18-S24</f>
        <v>3.6000000000001364E-2</v>
      </c>
    </row>
    <row r="26" spans="1:19" ht="15" customHeight="1" x14ac:dyDescent="0.2">
      <c r="A26" s="10" t="s">
        <v>17</v>
      </c>
      <c r="B26" s="12">
        <f>STDEV(B19:B23)</f>
        <v>7.4161984870955294E-2</v>
      </c>
      <c r="C26" s="12">
        <f>STDEV(C19:C23)</f>
        <v>2.320560277174474E-2</v>
      </c>
      <c r="D26" s="12">
        <f>STDEV(D19:D23)</f>
        <v>0.17108477430794305</v>
      </c>
      <c r="E26" s="15"/>
      <c r="F26" s="10" t="s">
        <v>17</v>
      </c>
      <c r="G26" s="12">
        <f>STDEV(G19:G23)</f>
        <v>8.5615419172019105E-2</v>
      </c>
      <c r="H26" s="12">
        <f>STDEV(H19:H23)</f>
        <v>2.3670656940608863E-2</v>
      </c>
      <c r="I26" s="12">
        <f>STDEV(I19:I23)</f>
        <v>4.4384682042343145E-2</v>
      </c>
      <c r="K26" s="10" t="s">
        <v>17</v>
      </c>
      <c r="L26" s="12">
        <f>STDEV(L19:L23)</f>
        <v>7.5696763471101741E-2</v>
      </c>
      <c r="M26" s="12">
        <f>STDEV(M19:M23)</f>
        <v>2.3670656940608863E-2</v>
      </c>
      <c r="N26" s="12">
        <f>STDEV(N19:N23)</f>
        <v>4.7749345545254056E-2</v>
      </c>
      <c r="P26" s="10" t="s">
        <v>17</v>
      </c>
      <c r="Q26" s="12">
        <f>STDEV(Q19:Q23)</f>
        <v>7.0710678118690922E-3</v>
      </c>
      <c r="R26" s="12">
        <f>STDEV(R19:R23)</f>
        <v>3.1304951684997437E-3</v>
      </c>
      <c r="S26" s="12">
        <f>STDEV(S19:S23)</f>
        <v>1.341640786499607E-2</v>
      </c>
    </row>
    <row r="27" spans="1:19" ht="15" customHeight="1" x14ac:dyDescent="0.2">
      <c r="A27" s="10" t="s">
        <v>18</v>
      </c>
      <c r="B27" s="16">
        <f>B25/B18*100</f>
        <v>0.43749999999997713</v>
      </c>
      <c r="C27" s="16">
        <f>C25/C18*100</f>
        <v>0.4749999999999921</v>
      </c>
      <c r="D27" s="16">
        <f>D25/D18*100</f>
        <v>-0.38400000000000034</v>
      </c>
      <c r="F27" s="10" t="s">
        <v>18</v>
      </c>
      <c r="G27" s="16">
        <f>G25/G18*100</f>
        <v>0.36527777777778503</v>
      </c>
      <c r="H27" s="16">
        <f>H25/H18*100</f>
        <v>0.31499999999999861</v>
      </c>
      <c r="I27" s="16">
        <f>I25/I18*100</f>
        <v>0.23600000000000421</v>
      </c>
      <c r="K27" s="10" t="s">
        <v>18</v>
      </c>
      <c r="L27" s="16">
        <f>L25/L18*100</f>
        <v>0.252777777777761</v>
      </c>
      <c r="M27" s="16">
        <f>M25/M18*100</f>
        <v>0.31499999999999861</v>
      </c>
      <c r="N27" s="16">
        <f>N25/N18*100</f>
        <v>-5.2000000000006708E-2</v>
      </c>
      <c r="P27" s="10" t="s">
        <v>18</v>
      </c>
      <c r="Q27" s="16">
        <f>Q25/Q18*100</f>
        <v>2.7777777777791987E-2</v>
      </c>
      <c r="R27" s="16">
        <f>R25/R18*100</f>
        <v>0.34000000000000696</v>
      </c>
      <c r="S27" s="16">
        <f>S25/S18*100</f>
        <v>7.2000000000002728E-2</v>
      </c>
    </row>
    <row r="28" spans="1:19" ht="15" customHeight="1" x14ac:dyDescent="0.2">
      <c r="E28" s="2"/>
    </row>
    <row r="29" spans="1:19" ht="15" customHeight="1" x14ac:dyDescent="0.2">
      <c r="E29" s="2"/>
    </row>
    <row r="30" spans="1:19" ht="15" customHeight="1" x14ac:dyDescent="0.2">
      <c r="E30" s="6"/>
    </row>
    <row r="31" spans="1:19" ht="15" customHeight="1" x14ac:dyDescent="0.2">
      <c r="A31" s="1" t="s">
        <v>28</v>
      </c>
      <c r="B31" s="1"/>
      <c r="C31" s="2" t="s">
        <v>29</v>
      </c>
      <c r="D31" s="3" t="s">
        <v>2</v>
      </c>
      <c r="E31" s="6"/>
      <c r="F31" s="1" t="s">
        <v>30</v>
      </c>
      <c r="G31" s="1"/>
      <c r="H31" s="2" t="s">
        <v>29</v>
      </c>
      <c r="I31" s="3" t="s">
        <v>4</v>
      </c>
      <c r="K31" s="1" t="s">
        <v>31</v>
      </c>
      <c r="L31" s="1"/>
      <c r="M31" s="2" t="s">
        <v>32</v>
      </c>
      <c r="N31" s="3" t="s">
        <v>4</v>
      </c>
      <c r="P31" s="1" t="s">
        <v>33</v>
      </c>
      <c r="Q31" s="1"/>
      <c r="R31" s="2" t="s">
        <v>32</v>
      </c>
      <c r="S31" s="2" t="s">
        <v>24</v>
      </c>
    </row>
    <row r="32" spans="1:19" ht="15" customHeight="1" x14ac:dyDescent="0.2">
      <c r="A32" s="5"/>
      <c r="B32" s="5" t="s">
        <v>6</v>
      </c>
      <c r="C32" s="5" t="s">
        <v>7</v>
      </c>
      <c r="D32" s="5" t="s">
        <v>8</v>
      </c>
      <c r="E32" s="6"/>
      <c r="F32" s="5"/>
      <c r="G32" s="5" t="s">
        <v>6</v>
      </c>
      <c r="H32" s="5" t="s">
        <v>7</v>
      </c>
      <c r="I32" s="5" t="s">
        <v>8</v>
      </c>
      <c r="K32" s="5"/>
      <c r="L32" s="5" t="s">
        <v>25</v>
      </c>
      <c r="M32" s="5" t="s">
        <v>26</v>
      </c>
      <c r="N32" s="5" t="s">
        <v>27</v>
      </c>
      <c r="P32" s="5"/>
      <c r="Q32" s="5" t="s">
        <v>25</v>
      </c>
      <c r="R32" s="5" t="s">
        <v>26</v>
      </c>
      <c r="S32" s="5" t="s">
        <v>27</v>
      </c>
    </row>
    <row r="33" spans="1:27" ht="15" customHeight="1" x14ac:dyDescent="0.2">
      <c r="A33" s="7" t="s">
        <v>9</v>
      </c>
      <c r="B33" s="5">
        <v>269</v>
      </c>
      <c r="C33" s="5">
        <v>4</v>
      </c>
      <c r="D33" s="5">
        <v>50</v>
      </c>
      <c r="E33" s="6"/>
      <c r="F33" s="7" t="s">
        <v>9</v>
      </c>
      <c r="G33" s="5">
        <v>269</v>
      </c>
      <c r="H33" s="5">
        <v>4</v>
      </c>
      <c r="I33" s="5">
        <v>50</v>
      </c>
      <c r="K33" s="7" t="s">
        <v>9</v>
      </c>
      <c r="L33" s="5">
        <v>269</v>
      </c>
      <c r="M33" s="5">
        <v>4</v>
      </c>
      <c r="N33" s="5">
        <v>50</v>
      </c>
      <c r="P33" s="7" t="s">
        <v>9</v>
      </c>
      <c r="Q33" s="5">
        <v>269</v>
      </c>
      <c r="R33" s="5">
        <v>4</v>
      </c>
      <c r="S33" s="5">
        <v>50</v>
      </c>
    </row>
    <row r="34" spans="1:27" ht="15" customHeight="1" x14ac:dyDescent="0.2">
      <c r="A34" s="7" t="s">
        <v>10</v>
      </c>
      <c r="B34" s="5">
        <v>268.39999999999998</v>
      </c>
      <c r="C34" s="5">
        <v>3.847</v>
      </c>
      <c r="D34" s="5">
        <v>50.15</v>
      </c>
      <c r="E34" s="6"/>
      <c r="F34" s="7" t="s">
        <v>10</v>
      </c>
      <c r="G34" s="5">
        <v>267.32</v>
      </c>
      <c r="H34" s="5">
        <v>4.0149999999999997</v>
      </c>
      <c r="I34" s="5">
        <v>50.01</v>
      </c>
      <c r="K34" s="7" t="s">
        <v>10</v>
      </c>
      <c r="L34" s="5">
        <v>268.16000000000003</v>
      </c>
      <c r="M34" s="5">
        <v>4.0149999999999997</v>
      </c>
      <c r="N34" s="5">
        <v>50.01</v>
      </c>
      <c r="P34" s="7" t="s">
        <v>10</v>
      </c>
      <c r="Q34" s="5">
        <v>268.95999999999998</v>
      </c>
      <c r="R34" s="5">
        <v>3.9769999999999999</v>
      </c>
      <c r="S34" s="5">
        <v>50.01</v>
      </c>
    </row>
    <row r="35" spans="1:27" ht="15" customHeight="1" x14ac:dyDescent="0.2">
      <c r="A35" s="7" t="s">
        <v>11</v>
      </c>
      <c r="B35" s="5">
        <v>268.16000000000003</v>
      </c>
      <c r="C35" s="5">
        <v>3.8490000000000002</v>
      </c>
      <c r="D35" s="5">
        <v>49.64</v>
      </c>
      <c r="E35" s="6"/>
      <c r="F35" s="7" t="s">
        <v>11</v>
      </c>
      <c r="G35" s="5">
        <v>267.10000000000002</v>
      </c>
      <c r="H35" s="5">
        <v>4.0940000000000003</v>
      </c>
      <c r="I35" s="5">
        <v>49.81</v>
      </c>
      <c r="K35" s="7" t="s">
        <v>11</v>
      </c>
      <c r="L35" s="5">
        <v>266.85000000000002</v>
      </c>
      <c r="M35" s="5">
        <v>4.0540000000000003</v>
      </c>
      <c r="N35" s="5">
        <v>49.81</v>
      </c>
      <c r="P35" s="7" t="s">
        <v>11</v>
      </c>
      <c r="Q35" s="5">
        <v>268.95999999999998</v>
      </c>
      <c r="R35" s="5">
        <v>3.976</v>
      </c>
      <c r="S35" s="5">
        <v>49.98</v>
      </c>
    </row>
    <row r="36" spans="1:27" ht="15" customHeight="1" x14ac:dyDescent="0.2">
      <c r="A36" s="7" t="s">
        <v>12</v>
      </c>
      <c r="B36" s="5">
        <v>268.31</v>
      </c>
      <c r="C36" s="5">
        <v>3.895</v>
      </c>
      <c r="D36" s="5">
        <v>48.92</v>
      </c>
      <c r="E36" s="6"/>
      <c r="F36" s="7" t="s">
        <v>12</v>
      </c>
      <c r="G36" s="5">
        <v>266.85000000000002</v>
      </c>
      <c r="H36" s="5">
        <v>4.0890000000000004</v>
      </c>
      <c r="I36" s="5">
        <v>48.82</v>
      </c>
      <c r="K36" s="7" t="s">
        <v>12</v>
      </c>
      <c r="L36" s="5">
        <v>266.52999999999997</v>
      </c>
      <c r="M36" s="5">
        <v>4.0590000000000002</v>
      </c>
      <c r="N36" s="5">
        <v>48.82</v>
      </c>
      <c r="P36" s="7" t="s">
        <v>12</v>
      </c>
      <c r="Q36" s="5">
        <v>268.95999999999998</v>
      </c>
      <c r="R36" s="5">
        <v>3.9809999999999999</v>
      </c>
      <c r="S36" s="5">
        <v>49.97</v>
      </c>
    </row>
    <row r="37" spans="1:27" ht="15" customHeight="1" x14ac:dyDescent="0.2">
      <c r="A37" s="7" t="s">
        <v>13</v>
      </c>
      <c r="B37" s="5">
        <v>268.14999999999998</v>
      </c>
      <c r="C37" s="5">
        <v>3.9169999999999998</v>
      </c>
      <c r="D37" s="5">
        <v>49.4</v>
      </c>
      <c r="E37" s="11"/>
      <c r="F37" s="7" t="s">
        <v>13</v>
      </c>
      <c r="G37" s="5">
        <v>266.52999999999997</v>
      </c>
      <c r="H37" s="5">
        <v>4.0780000000000003</v>
      </c>
      <c r="I37" s="5">
        <v>49.63</v>
      </c>
      <c r="K37" s="7" t="s">
        <v>13</v>
      </c>
      <c r="L37" s="5">
        <v>266.55</v>
      </c>
      <c r="M37" s="5">
        <v>4.0279999999999996</v>
      </c>
      <c r="N37" s="5">
        <v>49.63</v>
      </c>
      <c r="P37" s="7" t="s">
        <v>13</v>
      </c>
      <c r="Q37" s="5">
        <v>268.97000000000003</v>
      </c>
      <c r="R37" s="5">
        <v>3.984</v>
      </c>
      <c r="S37" s="5">
        <v>49.97</v>
      </c>
    </row>
    <row r="38" spans="1:27" ht="15" customHeight="1" x14ac:dyDescent="0.2">
      <c r="A38" s="7" t="s">
        <v>14</v>
      </c>
      <c r="B38" s="5">
        <v>267.85000000000002</v>
      </c>
      <c r="C38" s="5">
        <v>3.919</v>
      </c>
      <c r="D38" s="5">
        <v>50</v>
      </c>
      <c r="E38" s="14"/>
      <c r="F38" s="7" t="s">
        <v>14</v>
      </c>
      <c r="G38" s="5">
        <v>266.38</v>
      </c>
      <c r="H38" s="5">
        <v>3.9340000000000002</v>
      </c>
      <c r="I38" s="5">
        <v>49.93</v>
      </c>
      <c r="K38" s="7" t="s">
        <v>14</v>
      </c>
      <c r="L38" s="5">
        <v>266.77999999999997</v>
      </c>
      <c r="M38" s="5">
        <v>3.9649999999999999</v>
      </c>
      <c r="N38" s="5">
        <v>49.93</v>
      </c>
      <c r="P38" s="7" t="s">
        <v>14</v>
      </c>
      <c r="Q38" s="5">
        <v>268.95999999999998</v>
      </c>
      <c r="R38" s="5">
        <v>3.9889999999999999</v>
      </c>
      <c r="S38" s="5">
        <v>49.95</v>
      </c>
    </row>
    <row r="39" spans="1:27" ht="15" customHeight="1" x14ac:dyDescent="0.2">
      <c r="A39" s="10" t="s">
        <v>15</v>
      </c>
      <c r="B39" s="8">
        <f>AVERAGE(B34:B38)</f>
        <v>268.17399999999998</v>
      </c>
      <c r="C39" s="9">
        <f>AVERAGE(C34:C38)</f>
        <v>3.8853999999999997</v>
      </c>
      <c r="D39" s="8">
        <f>AVERAGE(D34:D38)</f>
        <v>49.622</v>
      </c>
      <c r="E39" s="15"/>
      <c r="F39" s="10" t="s">
        <v>15</v>
      </c>
      <c r="G39" s="8">
        <f>AVERAGE(G34:G38)</f>
        <v>266.83600000000007</v>
      </c>
      <c r="H39" s="9">
        <f>AVERAGE(H34:H38)</f>
        <v>4.0419999999999998</v>
      </c>
      <c r="I39" s="8">
        <f>AVERAGE(I34:I38)</f>
        <v>49.64</v>
      </c>
      <c r="K39" s="10" t="s">
        <v>15</v>
      </c>
      <c r="L39" s="8">
        <f>AVERAGE(L34:L38)</f>
        <v>266.97399999999999</v>
      </c>
      <c r="M39" s="9">
        <f>AVERAGE(M34:M38)</f>
        <v>4.0241999999999996</v>
      </c>
      <c r="N39" s="8">
        <f>AVERAGE(N34:N38)</f>
        <v>49.64</v>
      </c>
      <c r="P39" s="10" t="s">
        <v>15</v>
      </c>
      <c r="Q39" s="8">
        <f>AVERAGE(Q34:Q38)</f>
        <v>268.96199999999999</v>
      </c>
      <c r="R39" s="9">
        <f>AVERAGE(R34:R38)</f>
        <v>3.9813999999999998</v>
      </c>
      <c r="S39" s="8">
        <f>AVERAGE(S34:S38)</f>
        <v>49.975999999999999</v>
      </c>
    </row>
    <row r="40" spans="1:27" ht="15" customHeight="1" x14ac:dyDescent="0.2">
      <c r="A40" s="10" t="s">
        <v>16</v>
      </c>
      <c r="B40" s="12">
        <f>B33-B39</f>
        <v>0.82600000000002183</v>
      </c>
      <c r="C40" s="13">
        <f>C33-C39</f>
        <v>0.11460000000000026</v>
      </c>
      <c r="D40" s="12">
        <f>D33-D39</f>
        <v>0.37800000000000011</v>
      </c>
      <c r="F40" s="10" t="s">
        <v>16</v>
      </c>
      <c r="G40" s="12">
        <f>G33-G39</f>
        <v>2.1639999999999304</v>
      </c>
      <c r="H40" s="13">
        <f>H33-H39</f>
        <v>-4.1999999999999815E-2</v>
      </c>
      <c r="I40" s="12">
        <f>I33-I39</f>
        <v>0.35999999999999943</v>
      </c>
      <c r="K40" s="10" t="s">
        <v>16</v>
      </c>
      <c r="L40" s="12">
        <f>L33-L39</f>
        <v>2.0260000000000105</v>
      </c>
      <c r="M40" s="13">
        <f>M33-M39</f>
        <v>-2.4199999999999555E-2</v>
      </c>
      <c r="N40" s="12">
        <f>N33-N39</f>
        <v>0.35999999999999943</v>
      </c>
      <c r="P40" s="10" t="s">
        <v>16</v>
      </c>
      <c r="Q40" s="12">
        <f>Q33-Q39</f>
        <v>3.8000000000010914E-2</v>
      </c>
      <c r="R40" s="13">
        <f>R33-R39</f>
        <v>1.8600000000000172E-2</v>
      </c>
      <c r="S40" s="12">
        <f>S33-S39</f>
        <v>2.4000000000000909E-2</v>
      </c>
    </row>
    <row r="41" spans="1:27" ht="15" customHeight="1" x14ac:dyDescent="0.2">
      <c r="A41" s="10" t="s">
        <v>17</v>
      </c>
      <c r="B41" s="12">
        <f>STDEV(B34:B38)</f>
        <v>0.20935615586840048</v>
      </c>
      <c r="C41" s="12">
        <f>STDEV(C34:C38)</f>
        <v>3.5423156268181336E-2</v>
      </c>
      <c r="D41" s="12">
        <f>STDEV(D34:D38)</f>
        <v>0.49093787794383842</v>
      </c>
      <c r="E41" s="2"/>
      <c r="F41" s="10" t="s">
        <v>17</v>
      </c>
      <c r="G41" s="12">
        <f>STDEV(G34:G38)</f>
        <v>0.38914007760703179</v>
      </c>
      <c r="H41" s="12">
        <f>STDEV(H34:H38)</f>
        <v>6.8194574564257079E-2</v>
      </c>
      <c r="I41" s="12">
        <f>STDEV(I34:I38)</f>
        <v>0.4802082881417184</v>
      </c>
      <c r="K41" s="10" t="s">
        <v>17</v>
      </c>
      <c r="L41" s="12">
        <f>STDEV(L34:L38)</f>
        <v>0.67759132225849805</v>
      </c>
      <c r="M41" s="12">
        <f>STDEV(M34:M38)</f>
        <v>3.7758442764499855E-2</v>
      </c>
      <c r="N41" s="12">
        <f>STDEV(N34:N38)</f>
        <v>0.4802082881417184</v>
      </c>
      <c r="P41" s="10" t="s">
        <v>17</v>
      </c>
      <c r="Q41" s="12">
        <f>STDEV(Q34:Q38)</f>
        <v>4.4721359550209325E-3</v>
      </c>
      <c r="R41" s="12">
        <f>STDEV(R34:R38)</f>
        <v>5.3197744313081448E-3</v>
      </c>
      <c r="S41" s="12">
        <f>STDEV(S34:S38)</f>
        <v>2.1908902300205042E-2</v>
      </c>
    </row>
    <row r="42" spans="1:27" ht="15" customHeight="1" x14ac:dyDescent="0.2">
      <c r="A42" s="10" t="s">
        <v>18</v>
      </c>
      <c r="B42" s="16">
        <f>B40/B33*100</f>
        <v>0.30706319702603041</v>
      </c>
      <c r="C42" s="16">
        <f>C40/C33*100</f>
        <v>2.8650000000000064</v>
      </c>
      <c r="D42" s="16">
        <f>D40/D33*100</f>
        <v>0.75600000000000023</v>
      </c>
      <c r="E42" s="6"/>
      <c r="F42" s="10" t="s">
        <v>18</v>
      </c>
      <c r="G42" s="16">
        <f>G40/G33*100</f>
        <v>0.80446096654272514</v>
      </c>
      <c r="H42" s="16">
        <f>H40/H33*100</f>
        <v>-1.0499999999999954</v>
      </c>
      <c r="I42" s="16">
        <f>I40/I33*100</f>
        <v>0.71999999999999886</v>
      </c>
      <c r="K42" s="10" t="s">
        <v>18</v>
      </c>
      <c r="L42" s="16">
        <f>L40/L33*100</f>
        <v>0.75315985130111918</v>
      </c>
      <c r="M42" s="16">
        <f>M40/M33*100</f>
        <v>-0.60499999999998888</v>
      </c>
      <c r="N42" s="16">
        <f>N40/N33*100</f>
        <v>0.71999999999999886</v>
      </c>
      <c r="P42" s="10" t="s">
        <v>18</v>
      </c>
      <c r="Q42" s="16">
        <f>Q40/Q33*100</f>
        <v>1.4126394052048666E-2</v>
      </c>
      <c r="R42" s="16">
        <f>R40/R33*100</f>
        <v>0.4650000000000043</v>
      </c>
      <c r="S42" s="16">
        <f>S40/S33*100</f>
        <v>4.8000000000001819E-2</v>
      </c>
    </row>
    <row r="43" spans="1:27" x14ac:dyDescent="0.2">
      <c r="E43" s="6"/>
    </row>
    <row r="44" spans="1:27" x14ac:dyDescent="0.2">
      <c r="E44" s="6"/>
    </row>
    <row r="45" spans="1:27" x14ac:dyDescent="0.2">
      <c r="E45" s="6"/>
    </row>
    <row r="46" spans="1:27" ht="18.75" x14ac:dyDescent="0.2">
      <c r="A46" s="1" t="s">
        <v>34</v>
      </c>
      <c r="B46" s="1"/>
      <c r="C46" s="17" t="s">
        <v>35</v>
      </c>
      <c r="D46" s="17" t="s">
        <v>36</v>
      </c>
      <c r="E46" s="18" t="s">
        <v>37</v>
      </c>
      <c r="F46" s="18"/>
      <c r="G46" s="6"/>
      <c r="H46" s="1" t="s">
        <v>38</v>
      </c>
      <c r="I46" s="1"/>
      <c r="J46" s="17" t="s">
        <v>35</v>
      </c>
      <c r="K46" s="17" t="s">
        <v>36</v>
      </c>
      <c r="L46" s="18" t="s">
        <v>39</v>
      </c>
      <c r="M46" s="18"/>
      <c r="N46" s="6"/>
      <c r="O46" s="1" t="s">
        <v>40</v>
      </c>
      <c r="P46" s="1"/>
      <c r="Q46" s="17" t="s">
        <v>35</v>
      </c>
      <c r="R46" s="17" t="s">
        <v>36</v>
      </c>
      <c r="S46" s="18" t="s">
        <v>37</v>
      </c>
      <c r="T46" s="18"/>
      <c r="U46" s="6"/>
      <c r="V46" s="1" t="s">
        <v>41</v>
      </c>
      <c r="W46" s="1"/>
      <c r="X46" s="17" t="s">
        <v>35</v>
      </c>
      <c r="Y46" s="17" t="s">
        <v>36</v>
      </c>
      <c r="Z46" s="18" t="s">
        <v>42</v>
      </c>
      <c r="AA46" s="18"/>
    </row>
    <row r="47" spans="1:27" x14ac:dyDescent="0.2">
      <c r="A47" s="5"/>
      <c r="B47" s="5" t="s">
        <v>6</v>
      </c>
      <c r="C47" s="5" t="s">
        <v>7</v>
      </c>
      <c r="D47" s="5" t="s">
        <v>43</v>
      </c>
      <c r="E47" s="5" t="s">
        <v>44</v>
      </c>
      <c r="F47" s="5" t="s">
        <v>8</v>
      </c>
      <c r="G47" s="6"/>
      <c r="H47" s="5"/>
      <c r="I47" s="5" t="s">
        <v>6</v>
      </c>
      <c r="J47" s="5" t="s">
        <v>7</v>
      </c>
      <c r="K47" s="5" t="s">
        <v>43</v>
      </c>
      <c r="L47" s="5" t="s">
        <v>45</v>
      </c>
      <c r="M47" s="5" t="s">
        <v>8</v>
      </c>
      <c r="N47" s="6"/>
      <c r="O47" s="5"/>
      <c r="P47" s="5" t="s">
        <v>6</v>
      </c>
      <c r="Q47" s="5" t="s">
        <v>7</v>
      </c>
      <c r="R47" s="5" t="s">
        <v>43</v>
      </c>
      <c r="S47" s="5" t="s">
        <v>45</v>
      </c>
      <c r="T47" s="5" t="s">
        <v>8</v>
      </c>
      <c r="U47" s="6"/>
      <c r="V47" s="5"/>
      <c r="W47" s="5" t="s">
        <v>6</v>
      </c>
      <c r="X47" s="5" t="s">
        <v>7</v>
      </c>
      <c r="Y47" s="5" t="s">
        <v>43</v>
      </c>
      <c r="Z47" s="5" t="s">
        <v>45</v>
      </c>
      <c r="AA47" s="5" t="s">
        <v>8</v>
      </c>
    </row>
    <row r="48" spans="1:27" x14ac:dyDescent="0.2">
      <c r="A48" s="7" t="s">
        <v>9</v>
      </c>
      <c r="B48" s="5">
        <v>269</v>
      </c>
      <c r="C48" s="5">
        <v>4</v>
      </c>
      <c r="D48" s="5">
        <v>1</v>
      </c>
      <c r="E48" s="5">
        <v>12.5</v>
      </c>
      <c r="F48" s="5">
        <v>50</v>
      </c>
      <c r="G48" s="6"/>
      <c r="H48" s="7" t="s">
        <v>9</v>
      </c>
      <c r="I48" s="5">
        <v>269</v>
      </c>
      <c r="J48" s="5">
        <v>4</v>
      </c>
      <c r="K48" s="5">
        <v>1</v>
      </c>
      <c r="L48" s="5">
        <v>12.5</v>
      </c>
      <c r="M48" s="5">
        <v>50</v>
      </c>
      <c r="N48" s="6"/>
      <c r="O48" s="7" t="s">
        <v>9</v>
      </c>
      <c r="P48" s="5">
        <v>269</v>
      </c>
      <c r="Q48" s="5">
        <v>4</v>
      </c>
      <c r="R48" s="5">
        <v>1</v>
      </c>
      <c r="S48" s="5">
        <v>12.5</v>
      </c>
      <c r="T48" s="5">
        <v>50</v>
      </c>
      <c r="U48" s="6"/>
      <c r="V48" s="7" t="s">
        <v>9</v>
      </c>
      <c r="W48" s="5">
        <v>269</v>
      </c>
      <c r="X48" s="5">
        <v>4</v>
      </c>
      <c r="Y48" s="5">
        <v>1</v>
      </c>
      <c r="Z48" s="5">
        <v>12.5</v>
      </c>
      <c r="AA48" s="5">
        <v>50</v>
      </c>
    </row>
    <row r="49" spans="1:27" x14ac:dyDescent="0.2">
      <c r="A49" s="7" t="s">
        <v>10</v>
      </c>
      <c r="B49" s="5">
        <v>268.83999999999997</v>
      </c>
      <c r="C49" s="5">
        <v>3.99</v>
      </c>
      <c r="D49" s="6">
        <v>1.0880000000000001</v>
      </c>
      <c r="E49" s="5">
        <v>12.57</v>
      </c>
      <c r="F49" s="5">
        <v>49.93</v>
      </c>
      <c r="G49" s="6"/>
      <c r="H49" s="7" t="s">
        <v>10</v>
      </c>
      <c r="I49" s="5">
        <v>268.68</v>
      </c>
      <c r="J49" s="5">
        <v>4.077</v>
      </c>
      <c r="K49" s="5">
        <v>1.079</v>
      </c>
      <c r="L49" s="5">
        <v>12.46</v>
      </c>
      <c r="M49" s="5">
        <v>49.85</v>
      </c>
      <c r="N49" s="6"/>
      <c r="O49" s="7" t="s">
        <v>10</v>
      </c>
      <c r="P49" s="5">
        <v>268.57</v>
      </c>
      <c r="Q49" s="5">
        <v>3.9630000000000001</v>
      </c>
      <c r="R49" s="5">
        <v>0.96099999999999997</v>
      </c>
      <c r="S49" s="5">
        <v>12.56</v>
      </c>
      <c r="T49" s="5">
        <v>50.02</v>
      </c>
      <c r="U49" s="6"/>
      <c r="V49" s="7" t="s">
        <v>10</v>
      </c>
      <c r="W49" s="8">
        <v>269.05</v>
      </c>
      <c r="X49" s="5">
        <v>3.9790000000000001</v>
      </c>
      <c r="Y49" s="5">
        <v>1.018</v>
      </c>
      <c r="Z49" s="5">
        <v>12.47</v>
      </c>
      <c r="AA49" s="5">
        <v>50.06</v>
      </c>
    </row>
    <row r="50" spans="1:27" x14ac:dyDescent="0.2">
      <c r="A50" s="7" t="s">
        <v>11</v>
      </c>
      <c r="B50" s="5">
        <v>268.77999999999997</v>
      </c>
      <c r="C50" s="5">
        <v>3.996</v>
      </c>
      <c r="D50" s="5">
        <v>1.0349999999999999</v>
      </c>
      <c r="E50" s="5">
        <v>12.57</v>
      </c>
      <c r="F50" s="5">
        <v>50</v>
      </c>
      <c r="G50" s="6"/>
      <c r="H50" s="7" t="s">
        <v>11</v>
      </c>
      <c r="I50" s="5">
        <v>268.77</v>
      </c>
      <c r="J50" s="5">
        <v>4.0730000000000004</v>
      </c>
      <c r="K50" s="5">
        <v>1.052</v>
      </c>
      <c r="L50" s="5">
        <v>12.46</v>
      </c>
      <c r="M50" s="5">
        <v>49.78</v>
      </c>
      <c r="N50" s="6"/>
      <c r="O50" s="7" t="s">
        <v>11</v>
      </c>
      <c r="P50" s="5">
        <v>268.83</v>
      </c>
      <c r="Q50" s="5">
        <v>3.9630000000000001</v>
      </c>
      <c r="R50" s="5">
        <v>0.97399999999999998</v>
      </c>
      <c r="S50" s="5">
        <v>12.58</v>
      </c>
      <c r="T50" s="5">
        <v>50.05</v>
      </c>
      <c r="U50" s="6"/>
      <c r="V50" s="7" t="s">
        <v>11</v>
      </c>
      <c r="W50" s="8">
        <v>268.97000000000003</v>
      </c>
      <c r="X50" s="5">
        <v>3.9809999999999999</v>
      </c>
      <c r="Y50" s="5">
        <v>1.0309999999999999</v>
      </c>
      <c r="Z50" s="5">
        <v>12.51</v>
      </c>
      <c r="AA50" s="5">
        <v>49.98</v>
      </c>
    </row>
    <row r="51" spans="1:27" x14ac:dyDescent="0.2">
      <c r="A51" s="7" t="s">
        <v>12</v>
      </c>
      <c r="B51" s="5">
        <v>268.66000000000003</v>
      </c>
      <c r="C51" s="5">
        <v>3.96</v>
      </c>
      <c r="D51" s="5">
        <v>1.081</v>
      </c>
      <c r="E51" s="5">
        <v>12.56</v>
      </c>
      <c r="F51" s="5">
        <v>50.03</v>
      </c>
      <c r="G51" s="6"/>
      <c r="H51" s="7" t="s">
        <v>12</v>
      </c>
      <c r="I51" s="5">
        <v>268.70999999999998</v>
      </c>
      <c r="J51" s="5">
        <v>4.0599999999999996</v>
      </c>
      <c r="K51" s="5">
        <v>1.0620000000000001</v>
      </c>
      <c r="L51" s="5">
        <v>12.46</v>
      </c>
      <c r="M51" s="5">
        <v>49.8</v>
      </c>
      <c r="N51" s="6"/>
      <c r="O51" s="7" t="s">
        <v>12</v>
      </c>
      <c r="P51" s="5">
        <v>268.58</v>
      </c>
      <c r="Q51" s="5">
        <v>3.9649999999999999</v>
      </c>
      <c r="R51" s="5">
        <v>1.0640000000000001</v>
      </c>
      <c r="S51" s="5">
        <v>12.61</v>
      </c>
      <c r="T51" s="5">
        <v>50.1</v>
      </c>
      <c r="U51" s="6"/>
      <c r="V51" s="7" t="s">
        <v>12</v>
      </c>
      <c r="W51" s="8">
        <v>269.10000000000002</v>
      </c>
      <c r="X51" s="5">
        <v>3.9849999999999999</v>
      </c>
      <c r="Y51" s="5">
        <v>1.04</v>
      </c>
      <c r="Z51" s="5">
        <v>12.5</v>
      </c>
      <c r="AA51" s="5">
        <v>50.03</v>
      </c>
    </row>
    <row r="52" spans="1:27" x14ac:dyDescent="0.2">
      <c r="A52" s="7" t="s">
        <v>13</v>
      </c>
      <c r="B52" s="5">
        <v>268.75</v>
      </c>
      <c r="C52" s="5">
        <v>3.976</v>
      </c>
      <c r="D52" s="5">
        <v>1.081</v>
      </c>
      <c r="E52" s="5">
        <v>12.57</v>
      </c>
      <c r="F52" s="5">
        <v>50.05</v>
      </c>
      <c r="G52" s="6"/>
      <c r="H52" s="7" t="s">
        <v>13</v>
      </c>
      <c r="I52" s="5">
        <v>268.72000000000003</v>
      </c>
      <c r="J52" s="5">
        <v>4.0670000000000002</v>
      </c>
      <c r="K52" s="5">
        <v>1.0629999999999999</v>
      </c>
      <c r="L52" s="5">
        <v>12.45</v>
      </c>
      <c r="M52" s="5">
        <v>49.75</v>
      </c>
      <c r="N52" s="6"/>
      <c r="O52" s="7" t="s">
        <v>13</v>
      </c>
      <c r="P52" s="5">
        <v>268.54000000000002</v>
      </c>
      <c r="Q52" s="5">
        <v>3.9950000000000001</v>
      </c>
      <c r="R52" s="5">
        <v>0.98</v>
      </c>
      <c r="S52" s="5">
        <v>12.61</v>
      </c>
      <c r="T52" s="5">
        <v>50.1</v>
      </c>
      <c r="U52" s="6"/>
      <c r="V52" s="7" t="s">
        <v>13</v>
      </c>
      <c r="W52" s="8">
        <v>269.02</v>
      </c>
      <c r="X52" s="5">
        <v>3.9870000000000001</v>
      </c>
      <c r="Y52" s="5">
        <v>1.06</v>
      </c>
      <c r="Z52" s="5">
        <v>12.49</v>
      </c>
      <c r="AA52" s="5">
        <v>50.02</v>
      </c>
    </row>
    <row r="53" spans="1:27" x14ac:dyDescent="0.2">
      <c r="A53" s="7" t="s">
        <v>14</v>
      </c>
      <c r="B53" s="5">
        <v>268.64999999999998</v>
      </c>
      <c r="C53" s="5">
        <v>3.9660000000000002</v>
      </c>
      <c r="D53" s="5">
        <v>1.0569999999999999</v>
      </c>
      <c r="E53" s="5">
        <v>12.56</v>
      </c>
      <c r="F53" s="5">
        <v>49.95</v>
      </c>
      <c r="G53" s="6"/>
      <c r="H53" s="7" t="s">
        <v>14</v>
      </c>
      <c r="I53" s="5">
        <v>268.68</v>
      </c>
      <c r="J53" s="5">
        <v>4.125</v>
      </c>
      <c r="K53" s="5">
        <v>1.077</v>
      </c>
      <c r="L53" s="5">
        <v>12.46</v>
      </c>
      <c r="M53" s="5">
        <v>49.75</v>
      </c>
      <c r="N53" s="6"/>
      <c r="O53" s="7" t="s">
        <v>14</v>
      </c>
      <c r="P53" s="5">
        <v>268.66000000000003</v>
      </c>
      <c r="Q53" s="5">
        <v>3.984</v>
      </c>
      <c r="R53" s="5">
        <v>1.0029999999999999</v>
      </c>
      <c r="S53" s="5">
        <v>12.57</v>
      </c>
      <c r="T53" s="5">
        <v>50.03</v>
      </c>
      <c r="U53" s="6"/>
      <c r="V53" s="7" t="s">
        <v>14</v>
      </c>
      <c r="W53" s="8">
        <v>268.97000000000003</v>
      </c>
      <c r="X53" s="5">
        <v>3.9870000000000001</v>
      </c>
      <c r="Y53" s="5">
        <v>1.097</v>
      </c>
      <c r="Z53" s="5">
        <v>12.49</v>
      </c>
      <c r="AA53" s="5">
        <v>50</v>
      </c>
    </row>
    <row r="54" spans="1:27" x14ac:dyDescent="0.2">
      <c r="A54" s="10" t="s">
        <v>15</v>
      </c>
      <c r="B54" s="8">
        <f>AVERAGE(B49:B53)</f>
        <v>268.73599999999999</v>
      </c>
      <c r="C54" s="9">
        <f t="shared" ref="C54" si="0">AVERAGE(C49:C53)</f>
        <v>3.9776000000000002</v>
      </c>
      <c r="D54" s="9">
        <f>AVERAGE(D48:D53)</f>
        <v>1.0570000000000002</v>
      </c>
      <c r="E54" s="9">
        <f t="shared" ref="E54:F54" si="1">AVERAGE(E49:E53)</f>
        <v>12.566000000000001</v>
      </c>
      <c r="F54" s="8">
        <f t="shared" si="1"/>
        <v>49.991999999999997</v>
      </c>
      <c r="G54" s="6"/>
      <c r="H54" s="10" t="s">
        <v>15</v>
      </c>
      <c r="I54" s="8">
        <f>AVERAGE(I49:I53)</f>
        <v>268.71200000000005</v>
      </c>
      <c r="J54" s="9">
        <f t="shared" ref="J54:M54" si="2">AVERAGE(J49:J53)</f>
        <v>4.0804</v>
      </c>
      <c r="K54" s="9">
        <f t="shared" si="2"/>
        <v>1.0666</v>
      </c>
      <c r="L54" s="9">
        <f t="shared" si="2"/>
        <v>12.458</v>
      </c>
      <c r="M54" s="8">
        <f t="shared" si="2"/>
        <v>49.786000000000001</v>
      </c>
      <c r="N54" s="6"/>
      <c r="O54" s="10" t="s">
        <v>15</v>
      </c>
      <c r="P54" s="8">
        <f>AVERAGE(P49:P53)</f>
        <v>268.63600000000002</v>
      </c>
      <c r="Q54" s="9">
        <f>AVERAGE(Q49:Q53)</f>
        <v>3.9739999999999993</v>
      </c>
      <c r="R54" s="9">
        <f>AVERAGE(R49:R53)</f>
        <v>0.99640000000000006</v>
      </c>
      <c r="S54" s="9">
        <f t="shared" ref="S54:T54" si="3">AVERAGE(S49:S53)</f>
        <v>12.586</v>
      </c>
      <c r="T54" s="8">
        <f t="shared" si="3"/>
        <v>50.059999999999995</v>
      </c>
      <c r="U54" s="6"/>
      <c r="V54" s="10" t="s">
        <v>15</v>
      </c>
      <c r="W54" s="8">
        <f>AVERAGE(W49:W53)</f>
        <v>269.02199999999999</v>
      </c>
      <c r="X54" s="9">
        <f t="shared" ref="X54:AA54" si="4">AVERAGE(X49:X53)</f>
        <v>3.9838</v>
      </c>
      <c r="Y54" s="9">
        <f t="shared" si="4"/>
        <v>1.0492000000000001</v>
      </c>
      <c r="Z54" s="9">
        <f t="shared" si="4"/>
        <v>12.492000000000001</v>
      </c>
      <c r="AA54" s="8">
        <f t="shared" si="4"/>
        <v>50.018000000000001</v>
      </c>
    </row>
    <row r="55" spans="1:27" x14ac:dyDescent="0.2">
      <c r="A55" s="10" t="s">
        <v>16</v>
      </c>
      <c r="B55" s="12">
        <f>B48-B54</f>
        <v>0.26400000000001</v>
      </c>
      <c r="C55" s="13">
        <f t="shared" ref="C55" si="5">C48-C54</f>
        <v>2.2399999999999753E-2</v>
      </c>
      <c r="D55" s="12">
        <f>D48-D54</f>
        <v>-5.7000000000000162E-2</v>
      </c>
      <c r="E55" s="12">
        <f t="shared" ref="E55:F55" si="6">E48-E54</f>
        <v>-6.6000000000000725E-2</v>
      </c>
      <c r="F55" s="12">
        <f t="shared" si="6"/>
        <v>8.0000000000026716E-3</v>
      </c>
      <c r="G55" s="6"/>
      <c r="H55" s="10" t="s">
        <v>16</v>
      </c>
      <c r="I55" s="12">
        <f>I48-I54</f>
        <v>0.28799999999995407</v>
      </c>
      <c r="J55" s="13">
        <f t="shared" ref="J55:M55" si="7">J48-J54</f>
        <v>-8.0400000000000027E-2</v>
      </c>
      <c r="K55" s="13">
        <f t="shared" si="7"/>
        <v>-6.6599999999999993E-2</v>
      </c>
      <c r="L55" s="13">
        <f t="shared" si="7"/>
        <v>4.1999999999999815E-2</v>
      </c>
      <c r="M55" s="12">
        <f t="shared" si="7"/>
        <v>0.21399999999999864</v>
      </c>
      <c r="N55" s="6"/>
      <c r="O55" s="10" t="s">
        <v>16</v>
      </c>
      <c r="P55" s="12">
        <f>P48-P54</f>
        <v>0.3639999999999759</v>
      </c>
      <c r="Q55" s="13">
        <f t="shared" ref="Q55:T55" si="8">Q48-Q54</f>
        <v>2.6000000000000689E-2</v>
      </c>
      <c r="R55" s="13">
        <f t="shared" si="8"/>
        <v>3.5999999999999366E-3</v>
      </c>
      <c r="S55" s="13">
        <f t="shared" si="8"/>
        <v>-8.6000000000000298E-2</v>
      </c>
      <c r="T55" s="12">
        <f t="shared" si="8"/>
        <v>-5.9999999999995168E-2</v>
      </c>
      <c r="U55" s="6"/>
      <c r="V55" s="10" t="s">
        <v>16</v>
      </c>
      <c r="W55" s="12">
        <f>W48-W54</f>
        <v>-2.199999999999136E-2</v>
      </c>
      <c r="X55" s="13">
        <f t="shared" ref="X55:AA55" si="9">X48-X54</f>
        <v>1.6199999999999992E-2</v>
      </c>
      <c r="Y55" s="13">
        <f t="shared" si="9"/>
        <v>-4.9200000000000133E-2</v>
      </c>
      <c r="Z55" s="13">
        <f t="shared" si="9"/>
        <v>7.9999999999991189E-3</v>
      </c>
      <c r="AA55" s="12">
        <f t="shared" si="9"/>
        <v>-1.8000000000000682E-2</v>
      </c>
    </row>
    <row r="56" spans="1:27" x14ac:dyDescent="0.2">
      <c r="A56" s="10" t="s">
        <v>18</v>
      </c>
      <c r="B56" s="16">
        <f>B55/B48*100</f>
        <v>9.8141263940524179E-2</v>
      </c>
      <c r="C56" s="16">
        <f t="shared" ref="C56" si="10">C55/C48*100</f>
        <v>0.55999999999999384</v>
      </c>
      <c r="D56" s="16">
        <f>D55/D48*100</f>
        <v>-5.7000000000000162</v>
      </c>
      <c r="E56" s="16">
        <f t="shared" ref="E56:F56" si="11">E55/E48*100</f>
        <v>-0.5280000000000058</v>
      </c>
      <c r="F56" s="16">
        <f t="shared" si="11"/>
        <v>1.6000000000005343E-2</v>
      </c>
      <c r="G56" s="6"/>
      <c r="H56" s="10" t="s">
        <v>18</v>
      </c>
      <c r="I56" s="16">
        <f>I55/I48*100</f>
        <v>0.10706319702600522</v>
      </c>
      <c r="J56" s="16">
        <f t="shared" ref="J56:M56" si="12">J55/J48*100</f>
        <v>-2.0100000000000007</v>
      </c>
      <c r="K56" s="16">
        <f t="shared" si="12"/>
        <v>-6.6599999999999993</v>
      </c>
      <c r="L56" s="16">
        <f t="shared" si="12"/>
        <v>0.33599999999999852</v>
      </c>
      <c r="M56" s="16">
        <f t="shared" si="12"/>
        <v>0.42799999999999733</v>
      </c>
      <c r="N56" s="6"/>
      <c r="O56" s="10" t="s">
        <v>18</v>
      </c>
      <c r="P56" s="16">
        <f>P55/P48*100</f>
        <v>0.13531598513010257</v>
      </c>
      <c r="Q56" s="16">
        <f t="shared" ref="Q56:T56" si="13">Q55/Q48*100</f>
        <v>0.65000000000001723</v>
      </c>
      <c r="R56" s="16">
        <f t="shared" si="13"/>
        <v>0.35999999999999366</v>
      </c>
      <c r="S56" s="16">
        <f t="shared" si="13"/>
        <v>-0.68800000000000239</v>
      </c>
      <c r="T56" s="16">
        <f t="shared" si="13"/>
        <v>-0.11999999999999034</v>
      </c>
      <c r="U56" s="6"/>
      <c r="V56" s="10" t="s">
        <v>18</v>
      </c>
      <c r="W56" s="16">
        <f>W55/W48*100</f>
        <v>-8.1784386617068244E-3</v>
      </c>
      <c r="X56" s="16">
        <f t="shared" ref="X56:AA56" si="14">X55/X48*100</f>
        <v>0.4049999999999998</v>
      </c>
      <c r="Y56" s="16">
        <f t="shared" si="14"/>
        <v>-4.9200000000000133</v>
      </c>
      <c r="Z56" s="16">
        <f t="shared" si="14"/>
        <v>6.3999999999992951E-2</v>
      </c>
      <c r="AA56" s="16">
        <f t="shared" si="14"/>
        <v>-3.6000000000001364E-2</v>
      </c>
    </row>
    <row r="57" spans="1:27" x14ac:dyDescent="0.2">
      <c r="E57" s="6"/>
    </row>
    <row r="58" spans="1:27" x14ac:dyDescent="0.2">
      <c r="E58" s="6"/>
    </row>
    <row r="59" spans="1:27" x14ac:dyDescent="0.2">
      <c r="E59" s="6"/>
    </row>
    <row r="60" spans="1:27" ht="18.75" x14ac:dyDescent="0.2">
      <c r="A60" s="1" t="s">
        <v>46</v>
      </c>
      <c r="B60" s="1"/>
      <c r="C60" s="17" t="s">
        <v>35</v>
      </c>
      <c r="D60" s="17" t="s">
        <v>47</v>
      </c>
      <c r="E60" s="18" t="s">
        <v>37</v>
      </c>
      <c r="F60" s="18"/>
      <c r="G60" s="6"/>
      <c r="H60" s="1" t="s">
        <v>48</v>
      </c>
      <c r="I60" s="1"/>
      <c r="J60" s="17" t="s">
        <v>35</v>
      </c>
      <c r="K60" s="17" t="s">
        <v>47</v>
      </c>
      <c r="L60" s="18" t="s">
        <v>39</v>
      </c>
      <c r="M60" s="18"/>
      <c r="N60" s="6"/>
      <c r="O60" s="1" t="s">
        <v>49</v>
      </c>
      <c r="P60" s="1"/>
      <c r="Q60" s="17" t="s">
        <v>35</v>
      </c>
      <c r="R60" s="17" t="s">
        <v>47</v>
      </c>
      <c r="S60" s="18" t="s">
        <v>37</v>
      </c>
      <c r="T60" s="18"/>
      <c r="U60" s="6"/>
    </row>
    <row r="61" spans="1:27" x14ac:dyDescent="0.2">
      <c r="A61" s="5"/>
      <c r="B61" s="5" t="s">
        <v>6</v>
      </c>
      <c r="C61" s="5" t="s">
        <v>7</v>
      </c>
      <c r="D61" s="5" t="s">
        <v>43</v>
      </c>
      <c r="E61" s="5" t="s">
        <v>44</v>
      </c>
      <c r="F61" s="5" t="s">
        <v>8</v>
      </c>
      <c r="G61" s="6"/>
      <c r="H61" s="5"/>
      <c r="I61" s="5" t="s">
        <v>6</v>
      </c>
      <c r="J61" s="5" t="s">
        <v>7</v>
      </c>
      <c r="K61" s="5" t="s">
        <v>43</v>
      </c>
      <c r="L61" s="5" t="s">
        <v>45</v>
      </c>
      <c r="M61" s="5" t="s">
        <v>8</v>
      </c>
      <c r="N61" s="6"/>
      <c r="O61" s="5"/>
      <c r="P61" s="5" t="s">
        <v>6</v>
      </c>
      <c r="Q61" s="5" t="s">
        <v>7</v>
      </c>
      <c r="R61" s="5" t="s">
        <v>43</v>
      </c>
      <c r="S61" s="5" t="s">
        <v>45</v>
      </c>
      <c r="T61" s="5" t="s">
        <v>8</v>
      </c>
      <c r="U61" s="6"/>
    </row>
    <row r="62" spans="1:27" x14ac:dyDescent="0.2">
      <c r="A62" s="7" t="s">
        <v>9</v>
      </c>
      <c r="B62" s="5">
        <v>269</v>
      </c>
      <c r="C62" s="5">
        <v>4</v>
      </c>
      <c r="D62" s="5">
        <v>1</v>
      </c>
      <c r="E62" s="5">
        <v>25</v>
      </c>
      <c r="F62" s="5">
        <v>50</v>
      </c>
      <c r="G62" s="6"/>
      <c r="H62" s="7" t="s">
        <v>9</v>
      </c>
      <c r="I62" s="5">
        <v>269</v>
      </c>
      <c r="J62" s="5">
        <v>4</v>
      </c>
      <c r="K62" s="5">
        <v>1</v>
      </c>
      <c r="L62" s="5">
        <v>25</v>
      </c>
      <c r="M62" s="5">
        <v>50</v>
      </c>
      <c r="N62" s="6"/>
      <c r="O62" s="7" t="s">
        <v>9</v>
      </c>
      <c r="P62" s="5">
        <v>269</v>
      </c>
      <c r="Q62" s="5">
        <v>4</v>
      </c>
      <c r="R62" s="5">
        <v>1</v>
      </c>
      <c r="S62" s="5">
        <v>25</v>
      </c>
      <c r="T62" s="5">
        <v>50</v>
      </c>
      <c r="U62" s="6"/>
    </row>
    <row r="63" spans="1:27" x14ac:dyDescent="0.2">
      <c r="A63" s="7" t="s">
        <v>10</v>
      </c>
      <c r="B63" s="5">
        <v>268.75</v>
      </c>
      <c r="C63" s="5">
        <v>4.0250000000000004</v>
      </c>
      <c r="D63" s="6">
        <v>0.98699999999999999</v>
      </c>
      <c r="E63" s="5">
        <v>25</v>
      </c>
      <c r="F63" s="5">
        <v>50.01</v>
      </c>
      <c r="G63" s="6"/>
      <c r="H63" s="7" t="s">
        <v>10</v>
      </c>
      <c r="I63" s="5">
        <v>268.29000000000002</v>
      </c>
      <c r="J63" s="5">
        <v>3.9969999999999999</v>
      </c>
      <c r="K63" s="5">
        <v>1.107</v>
      </c>
      <c r="L63" s="5">
        <v>24.92</v>
      </c>
      <c r="M63" s="5">
        <v>49.95</v>
      </c>
      <c r="N63" s="6"/>
      <c r="O63" s="7" t="s">
        <v>10</v>
      </c>
      <c r="P63" s="5">
        <v>268.57</v>
      </c>
      <c r="Q63" s="5">
        <v>4.0860000000000003</v>
      </c>
      <c r="R63" s="5">
        <v>1.0169999999999999</v>
      </c>
      <c r="S63" s="5">
        <v>25</v>
      </c>
      <c r="T63" s="5">
        <v>49.95</v>
      </c>
      <c r="U63" s="6"/>
    </row>
    <row r="64" spans="1:27" x14ac:dyDescent="0.2">
      <c r="A64" s="7" t="s">
        <v>11</v>
      </c>
      <c r="B64" s="5">
        <v>268.76</v>
      </c>
      <c r="C64" s="5">
        <v>3.9910000000000001</v>
      </c>
      <c r="D64" s="5">
        <v>0.98099999999999998</v>
      </c>
      <c r="E64" s="5">
        <v>25.08</v>
      </c>
      <c r="F64" s="5">
        <v>50.06</v>
      </c>
      <c r="G64" s="6"/>
      <c r="H64" s="7" t="s">
        <v>11</v>
      </c>
      <c r="I64" s="5">
        <v>268.35000000000002</v>
      </c>
      <c r="J64" s="5">
        <v>4.0190000000000001</v>
      </c>
      <c r="K64" s="5">
        <v>1.145</v>
      </c>
      <c r="L64" s="5">
        <v>24.78</v>
      </c>
      <c r="M64" s="5">
        <v>49.78</v>
      </c>
      <c r="N64" s="6"/>
      <c r="O64" s="7" t="s">
        <v>11</v>
      </c>
      <c r="P64" s="5">
        <v>268.64</v>
      </c>
      <c r="Q64" s="5">
        <v>4.03</v>
      </c>
      <c r="R64" s="5">
        <v>1.085</v>
      </c>
      <c r="S64" s="5">
        <v>25.08</v>
      </c>
      <c r="T64" s="5">
        <v>50.18</v>
      </c>
      <c r="U64" s="6"/>
    </row>
    <row r="65" spans="1:21" x14ac:dyDescent="0.2">
      <c r="A65" s="7" t="s">
        <v>12</v>
      </c>
      <c r="B65" s="5">
        <v>268.61</v>
      </c>
      <c r="C65" s="5">
        <v>3.9729999999999999</v>
      </c>
      <c r="D65" s="5">
        <v>1.0529999999999999</v>
      </c>
      <c r="E65" s="5">
        <v>25.05</v>
      </c>
      <c r="F65" s="5">
        <v>50.13</v>
      </c>
      <c r="G65" s="6"/>
      <c r="H65" s="7" t="s">
        <v>12</v>
      </c>
      <c r="I65" s="5">
        <v>268.29000000000002</v>
      </c>
      <c r="J65" s="5">
        <v>4.0140000000000002</v>
      </c>
      <c r="K65" s="5">
        <v>1.081</v>
      </c>
      <c r="L65" s="5">
        <v>24.78</v>
      </c>
      <c r="M65" s="5">
        <v>49.79</v>
      </c>
      <c r="N65" s="6"/>
      <c r="O65" s="7" t="s">
        <v>12</v>
      </c>
      <c r="P65" s="5">
        <v>268.64</v>
      </c>
      <c r="Q65" s="5">
        <v>3.98</v>
      </c>
      <c r="R65" s="5">
        <v>1.097</v>
      </c>
      <c r="S65" s="5">
        <v>25.13</v>
      </c>
      <c r="T65" s="5">
        <v>50.2</v>
      </c>
      <c r="U65" s="6"/>
    </row>
    <row r="66" spans="1:21" x14ac:dyDescent="0.2">
      <c r="A66" s="7" t="s">
        <v>13</v>
      </c>
      <c r="B66" s="5">
        <v>269.06</v>
      </c>
      <c r="C66" s="5">
        <v>4.0250000000000004</v>
      </c>
      <c r="D66" s="5">
        <v>1.046</v>
      </c>
      <c r="E66" s="5">
        <v>25.01</v>
      </c>
      <c r="F66" s="5">
        <v>50.11</v>
      </c>
      <c r="G66" s="6"/>
      <c r="H66" s="7" t="s">
        <v>13</v>
      </c>
      <c r="I66" s="5">
        <v>268.43</v>
      </c>
      <c r="J66" s="5">
        <v>3.9790000000000001</v>
      </c>
      <c r="K66" s="5">
        <v>1.0900000000000001</v>
      </c>
      <c r="L66" s="5">
        <v>24.87</v>
      </c>
      <c r="M66" s="5">
        <v>49.82</v>
      </c>
      <c r="N66" s="6"/>
      <c r="O66" s="7" t="s">
        <v>13</v>
      </c>
      <c r="P66" s="5">
        <v>268.61</v>
      </c>
      <c r="Q66" s="5">
        <v>4.0380000000000003</v>
      </c>
      <c r="R66" s="5">
        <v>1.093</v>
      </c>
      <c r="S66" s="5">
        <v>25.05</v>
      </c>
      <c r="T66" s="5">
        <v>50.16</v>
      </c>
      <c r="U66" s="6"/>
    </row>
    <row r="67" spans="1:21" x14ac:dyDescent="0.2">
      <c r="A67" s="7" t="s">
        <v>14</v>
      </c>
      <c r="B67" s="5">
        <v>268.83</v>
      </c>
      <c r="C67" s="5">
        <v>3.9889999999999999</v>
      </c>
      <c r="D67" s="5">
        <v>0.96299999999999997</v>
      </c>
      <c r="E67" s="5">
        <v>25</v>
      </c>
      <c r="F67" s="5">
        <v>50.05</v>
      </c>
      <c r="G67" s="6"/>
      <c r="H67" s="7" t="s">
        <v>14</v>
      </c>
      <c r="I67" s="5">
        <v>268.41000000000003</v>
      </c>
      <c r="J67" s="5">
        <v>3.97</v>
      </c>
      <c r="K67" s="5">
        <v>1.073</v>
      </c>
      <c r="L67" s="5">
        <v>24.91</v>
      </c>
      <c r="M67" s="5">
        <v>50.03</v>
      </c>
      <c r="N67" s="6"/>
      <c r="O67" s="7" t="s">
        <v>14</v>
      </c>
      <c r="P67" s="5">
        <v>268.74</v>
      </c>
      <c r="Q67" s="5">
        <v>4.0720000000000001</v>
      </c>
      <c r="R67" s="5">
        <v>1.0960000000000001</v>
      </c>
      <c r="S67" s="5">
        <v>24.82</v>
      </c>
      <c r="T67" s="5">
        <v>49.85</v>
      </c>
      <c r="U67" s="6"/>
    </row>
    <row r="68" spans="1:21" x14ac:dyDescent="0.2">
      <c r="A68" s="10" t="s">
        <v>15</v>
      </c>
      <c r="B68" s="8">
        <f>AVERAGE(B63:B67)</f>
        <v>268.80200000000002</v>
      </c>
      <c r="C68" s="9">
        <f t="shared" ref="C68" si="15">AVERAGE(C63:C67)</f>
        <v>4.0006000000000004</v>
      </c>
      <c r="D68" s="9">
        <f>AVERAGE(D62:D67)</f>
        <v>1.0050000000000001</v>
      </c>
      <c r="E68" s="9">
        <f t="shared" ref="E68:F68" si="16">AVERAGE(E63:E67)</f>
        <v>25.027999999999999</v>
      </c>
      <c r="F68" s="8">
        <f t="shared" si="16"/>
        <v>50.072000000000003</v>
      </c>
      <c r="G68" s="6"/>
      <c r="H68" s="10" t="s">
        <v>15</v>
      </c>
      <c r="I68" s="8">
        <f>AVERAGE(I63:I67)</f>
        <v>268.35400000000004</v>
      </c>
      <c r="J68" s="9">
        <f t="shared" ref="J68:M68" si="17">AVERAGE(J63:J67)</f>
        <v>3.9958</v>
      </c>
      <c r="K68" s="9">
        <f t="shared" si="17"/>
        <v>1.0992000000000002</v>
      </c>
      <c r="L68" s="9">
        <f t="shared" si="17"/>
        <v>24.852</v>
      </c>
      <c r="M68" s="8">
        <f t="shared" si="17"/>
        <v>49.874000000000002</v>
      </c>
      <c r="N68" s="6"/>
      <c r="O68" s="10" t="s">
        <v>15</v>
      </c>
      <c r="P68" s="8">
        <f>AVERAGE(P63:P67)</f>
        <v>268.64</v>
      </c>
      <c r="Q68" s="9">
        <f>AVERAGE(Q63:Q67)</f>
        <v>4.0411999999999999</v>
      </c>
      <c r="R68" s="9">
        <f>AVERAGE(R63:R67)</f>
        <v>1.0775999999999999</v>
      </c>
      <c r="S68" s="9">
        <f t="shared" ref="S68:T68" si="18">AVERAGE(S63:S67)</f>
        <v>25.015999999999998</v>
      </c>
      <c r="T68" s="8">
        <f t="shared" si="18"/>
        <v>50.067999999999998</v>
      </c>
      <c r="U68" s="6"/>
    </row>
    <row r="69" spans="1:21" x14ac:dyDescent="0.2">
      <c r="A69" s="10" t="s">
        <v>16</v>
      </c>
      <c r="B69" s="12">
        <f>B62-B68</f>
        <v>0.19799999999997908</v>
      </c>
      <c r="C69" s="13">
        <f t="shared" ref="C69" si="19">C62-C68</f>
        <v>-6.0000000000037801E-4</v>
      </c>
      <c r="D69" s="12">
        <f>D62-D68</f>
        <v>-5.0000000000001155E-3</v>
      </c>
      <c r="E69" s="12">
        <f t="shared" ref="E69:F69" si="20">E62-E68</f>
        <v>-2.7999999999998693E-2</v>
      </c>
      <c r="F69" s="12">
        <f t="shared" si="20"/>
        <v>-7.2000000000002728E-2</v>
      </c>
      <c r="G69" s="6"/>
      <c r="H69" s="10" t="s">
        <v>16</v>
      </c>
      <c r="I69" s="12">
        <f>I62-I68</f>
        <v>0.64599999999995816</v>
      </c>
      <c r="J69" s="13">
        <f t="shared" ref="J69:M69" si="21">J62-J68</f>
        <v>4.1999999999999815E-3</v>
      </c>
      <c r="K69" s="13">
        <f t="shared" si="21"/>
        <v>-9.9200000000000177E-2</v>
      </c>
      <c r="L69" s="13">
        <f t="shared" si="21"/>
        <v>0.14799999999999969</v>
      </c>
      <c r="M69" s="12">
        <f t="shared" si="21"/>
        <v>0.12599999999999767</v>
      </c>
      <c r="N69" s="6"/>
      <c r="O69" s="10" t="s">
        <v>16</v>
      </c>
      <c r="P69" s="12">
        <f>P62-P68</f>
        <v>0.36000000000001364</v>
      </c>
      <c r="Q69" s="13">
        <f t="shared" ref="Q69:T69" si="22">Q62-Q68</f>
        <v>-4.1199999999999903E-2</v>
      </c>
      <c r="R69" s="13">
        <f t="shared" si="22"/>
        <v>-7.7599999999999891E-2</v>
      </c>
      <c r="S69" s="13">
        <f t="shared" si="22"/>
        <v>-1.5999999999998238E-2</v>
      </c>
      <c r="T69" s="12">
        <f t="shared" si="22"/>
        <v>-6.799999999999784E-2</v>
      </c>
      <c r="U69" s="6"/>
    </row>
    <row r="70" spans="1:21" x14ac:dyDescent="0.2">
      <c r="A70" s="10" t="s">
        <v>18</v>
      </c>
      <c r="B70" s="16">
        <f>B69/B62*100</f>
        <v>7.3605947955382556E-2</v>
      </c>
      <c r="C70" s="16">
        <f t="shared" ref="C70" si="23">C69/C62*100</f>
        <v>-1.500000000000945E-2</v>
      </c>
      <c r="D70" s="16">
        <f>D69/D62*100</f>
        <v>-0.50000000000001155</v>
      </c>
      <c r="E70" s="16">
        <f t="shared" ref="E70:F70" si="24">E69/E62*100</f>
        <v>-0.11199999999999477</v>
      </c>
      <c r="F70" s="16">
        <f t="shared" si="24"/>
        <v>-0.14400000000000546</v>
      </c>
      <c r="G70" s="6"/>
      <c r="H70" s="10" t="s">
        <v>18</v>
      </c>
      <c r="I70" s="16">
        <f>I69/I62*100</f>
        <v>0.2401486988847428</v>
      </c>
      <c r="J70" s="16">
        <f t="shared" ref="J70:M70" si="25">J69/J62*100</f>
        <v>0.10499999999999954</v>
      </c>
      <c r="K70" s="16">
        <f t="shared" si="25"/>
        <v>-9.9200000000000177</v>
      </c>
      <c r="L70" s="16">
        <f t="shared" si="25"/>
        <v>0.59199999999999875</v>
      </c>
      <c r="M70" s="16">
        <f t="shared" si="25"/>
        <v>0.25199999999999534</v>
      </c>
      <c r="N70" s="6"/>
      <c r="O70" s="10" t="s">
        <v>18</v>
      </c>
      <c r="P70" s="16">
        <f>P69/P62*100</f>
        <v>0.13382899628253295</v>
      </c>
      <c r="Q70" s="16">
        <f t="shared" ref="Q70:T70" si="26">Q69/Q62*100</f>
        <v>-1.0299999999999976</v>
      </c>
      <c r="R70" s="16">
        <f t="shared" si="26"/>
        <v>-7.7599999999999891</v>
      </c>
      <c r="S70" s="16">
        <f t="shared" si="26"/>
        <v>-6.3999999999992951E-2</v>
      </c>
      <c r="T70" s="16">
        <f t="shared" si="26"/>
        <v>-0.13599999999999568</v>
      </c>
      <c r="U70" s="6"/>
    </row>
    <row r="71" spans="1:21" x14ac:dyDescent="0.2">
      <c r="E71" s="6"/>
    </row>
    <row r="74" spans="1:21" ht="18.75" x14ac:dyDescent="0.2">
      <c r="A74" s="18" t="s">
        <v>50</v>
      </c>
      <c r="B74" s="18"/>
      <c r="C74" s="17" t="s">
        <v>35</v>
      </c>
      <c r="D74" s="17" t="s">
        <v>51</v>
      </c>
      <c r="E74" s="18" t="s">
        <v>37</v>
      </c>
      <c r="F74" s="18"/>
      <c r="G74" s="6"/>
      <c r="H74" s="18" t="s">
        <v>52</v>
      </c>
      <c r="I74" s="18"/>
      <c r="J74" s="17" t="s">
        <v>35</v>
      </c>
      <c r="K74" s="17" t="s">
        <v>51</v>
      </c>
      <c r="L74" s="19" t="s">
        <v>4</v>
      </c>
      <c r="M74" s="19"/>
      <c r="N74" s="6"/>
      <c r="O74" s="18" t="s">
        <v>53</v>
      </c>
      <c r="P74" s="18"/>
      <c r="Q74" s="17" t="s">
        <v>35</v>
      </c>
      <c r="R74" s="17" t="s">
        <v>51</v>
      </c>
      <c r="S74" s="18" t="s">
        <v>37</v>
      </c>
      <c r="T74" s="18"/>
    </row>
    <row r="75" spans="1:21" x14ac:dyDescent="0.2">
      <c r="A75" s="5"/>
      <c r="B75" s="5" t="s">
        <v>6</v>
      </c>
      <c r="C75" s="5" t="s">
        <v>7</v>
      </c>
      <c r="D75" s="5" t="s">
        <v>43</v>
      </c>
      <c r="E75" s="5" t="s">
        <v>44</v>
      </c>
      <c r="F75" s="5" t="s">
        <v>8</v>
      </c>
      <c r="G75" s="6"/>
      <c r="H75" s="5"/>
      <c r="I75" s="5" t="s">
        <v>6</v>
      </c>
      <c r="J75" s="5" t="s">
        <v>7</v>
      </c>
      <c r="K75" s="5" t="s">
        <v>43</v>
      </c>
      <c r="L75" s="5" t="s">
        <v>45</v>
      </c>
      <c r="M75" s="5" t="s">
        <v>8</v>
      </c>
      <c r="N75" s="6"/>
      <c r="O75" s="5"/>
      <c r="P75" s="5" t="s">
        <v>6</v>
      </c>
      <c r="Q75" s="5" t="s">
        <v>7</v>
      </c>
      <c r="R75" s="5" t="s">
        <v>43</v>
      </c>
      <c r="S75" s="5" t="s">
        <v>45</v>
      </c>
      <c r="T75" s="5" t="s">
        <v>8</v>
      </c>
    </row>
    <row r="76" spans="1:21" x14ac:dyDescent="0.2">
      <c r="A76" s="7" t="s">
        <v>54</v>
      </c>
      <c r="B76" s="5">
        <v>269</v>
      </c>
      <c r="C76" s="5">
        <v>4</v>
      </c>
      <c r="D76" s="5">
        <v>1</v>
      </c>
      <c r="E76" s="5">
        <v>37.5</v>
      </c>
      <c r="F76" s="5">
        <v>50</v>
      </c>
      <c r="G76" s="6"/>
      <c r="H76" s="7" t="s">
        <v>54</v>
      </c>
      <c r="I76" s="5">
        <v>269</v>
      </c>
      <c r="J76" s="5">
        <v>4</v>
      </c>
      <c r="K76" s="5">
        <v>1</v>
      </c>
      <c r="L76" s="5">
        <v>37.5</v>
      </c>
      <c r="M76" s="5">
        <v>50</v>
      </c>
      <c r="N76" s="6"/>
      <c r="O76" s="7" t="s">
        <v>54</v>
      </c>
      <c r="P76" s="5">
        <v>269</v>
      </c>
      <c r="Q76" s="5">
        <v>4</v>
      </c>
      <c r="R76" s="5">
        <v>1</v>
      </c>
      <c r="S76" s="5">
        <v>37.5</v>
      </c>
      <c r="T76" s="5">
        <v>50</v>
      </c>
    </row>
    <row r="77" spans="1:21" x14ac:dyDescent="0.2">
      <c r="A77" s="7" t="s">
        <v>55</v>
      </c>
      <c r="B77" s="5">
        <v>268.74</v>
      </c>
      <c r="C77" s="5">
        <v>4.0609999999999999</v>
      </c>
      <c r="D77" s="6">
        <v>0.98099999999999998</v>
      </c>
      <c r="E77" s="5">
        <v>37.409999999999997</v>
      </c>
      <c r="F77" s="5">
        <v>49.96</v>
      </c>
      <c r="G77" s="6"/>
      <c r="H77" s="7" t="s">
        <v>55</v>
      </c>
      <c r="I77" s="5">
        <v>268.77</v>
      </c>
      <c r="J77" s="5">
        <v>3.984</v>
      </c>
      <c r="K77" s="5">
        <v>1.018</v>
      </c>
      <c r="L77" s="5">
        <v>37.44</v>
      </c>
      <c r="M77" s="5">
        <v>50.02</v>
      </c>
      <c r="N77" s="6"/>
      <c r="O77" s="7" t="s">
        <v>55</v>
      </c>
      <c r="P77" s="5">
        <v>268.56</v>
      </c>
      <c r="Q77" s="5">
        <v>4.09</v>
      </c>
      <c r="R77" s="5">
        <v>1.073</v>
      </c>
      <c r="S77" s="5">
        <v>37.479999999999997</v>
      </c>
      <c r="T77" s="5">
        <v>49.68</v>
      </c>
    </row>
    <row r="78" spans="1:21" x14ac:dyDescent="0.2">
      <c r="A78" s="7" t="s">
        <v>56</v>
      </c>
      <c r="B78" s="5">
        <v>268.81</v>
      </c>
      <c r="C78" s="5">
        <v>3.9870000000000001</v>
      </c>
      <c r="D78" s="5">
        <v>0.98599999999999999</v>
      </c>
      <c r="E78" s="6">
        <v>37.520000000000003</v>
      </c>
      <c r="F78" s="5">
        <v>49.8</v>
      </c>
      <c r="G78" s="6"/>
      <c r="H78" s="7" t="s">
        <v>56</v>
      </c>
      <c r="I78" s="5">
        <v>268.57</v>
      </c>
      <c r="J78" s="5">
        <v>3.9740000000000002</v>
      </c>
      <c r="K78" s="5">
        <v>1.036</v>
      </c>
      <c r="L78" s="6">
        <v>37.36</v>
      </c>
      <c r="M78" s="5">
        <v>50.1</v>
      </c>
      <c r="N78" s="6"/>
      <c r="O78" s="7" t="s">
        <v>56</v>
      </c>
      <c r="P78" s="5">
        <v>268.57</v>
      </c>
      <c r="Q78" s="5">
        <v>4.008</v>
      </c>
      <c r="R78" s="5">
        <v>1.0469999999999999</v>
      </c>
      <c r="S78" s="5">
        <v>37.619999999999997</v>
      </c>
      <c r="T78" s="5">
        <v>50.02</v>
      </c>
    </row>
    <row r="79" spans="1:21" x14ac:dyDescent="0.2">
      <c r="A79" s="7" t="s">
        <v>57</v>
      </c>
      <c r="B79" s="5">
        <v>268.7</v>
      </c>
      <c r="C79" s="5">
        <v>4.0289999999999999</v>
      </c>
      <c r="D79" s="5">
        <v>0.97099999999999997</v>
      </c>
      <c r="E79" s="5">
        <v>37.56</v>
      </c>
      <c r="F79" s="5">
        <v>49.71</v>
      </c>
      <c r="G79" s="6"/>
      <c r="H79" s="7" t="s">
        <v>57</v>
      </c>
      <c r="I79" s="5">
        <v>268.55</v>
      </c>
      <c r="J79" s="5">
        <v>3.984</v>
      </c>
      <c r="K79" s="5">
        <v>1.0329999999999999</v>
      </c>
      <c r="L79" s="5">
        <v>37.520000000000003</v>
      </c>
      <c r="M79" s="5">
        <v>50.11</v>
      </c>
      <c r="N79" s="6"/>
      <c r="O79" s="7" t="s">
        <v>57</v>
      </c>
      <c r="P79" s="5">
        <v>268.56</v>
      </c>
      <c r="Q79" s="5">
        <v>4.0190000000000001</v>
      </c>
      <c r="R79" s="5">
        <v>1.0229999999999999</v>
      </c>
      <c r="S79" s="5">
        <v>37.64</v>
      </c>
      <c r="T79" s="5">
        <v>50.16</v>
      </c>
    </row>
    <row r="80" spans="1:21" x14ac:dyDescent="0.2">
      <c r="A80" s="7" t="s">
        <v>58</v>
      </c>
      <c r="B80" s="5">
        <v>268.82</v>
      </c>
      <c r="C80" s="5">
        <v>4.0270000000000001</v>
      </c>
      <c r="D80" s="5">
        <v>0.96899999999999997</v>
      </c>
      <c r="E80" s="5">
        <v>37.53</v>
      </c>
      <c r="F80" s="5">
        <v>49.74</v>
      </c>
      <c r="G80" s="6"/>
      <c r="H80" s="7" t="s">
        <v>58</v>
      </c>
      <c r="I80" s="5">
        <v>268.52</v>
      </c>
      <c r="J80" s="5">
        <v>3.98</v>
      </c>
      <c r="K80" s="5">
        <v>1.0449999999999999</v>
      </c>
      <c r="L80" s="5">
        <v>37.26</v>
      </c>
      <c r="M80" s="5">
        <v>50.11</v>
      </c>
      <c r="N80" s="6"/>
      <c r="O80" s="7" t="s">
        <v>58</v>
      </c>
      <c r="P80" s="5">
        <v>268.64999999999998</v>
      </c>
      <c r="Q80" s="5">
        <v>4.0620000000000003</v>
      </c>
      <c r="R80" s="5">
        <v>1.036</v>
      </c>
      <c r="S80" s="5">
        <v>37.479999999999997</v>
      </c>
      <c r="T80" s="5">
        <v>50.22</v>
      </c>
    </row>
    <row r="81" spans="1:20" x14ac:dyDescent="0.2">
      <c r="A81" s="7" t="s">
        <v>59</v>
      </c>
      <c r="B81" s="5">
        <v>268.55</v>
      </c>
      <c r="C81" s="5">
        <v>3.9630000000000001</v>
      </c>
      <c r="D81" s="5">
        <v>0.95899999999999996</v>
      </c>
      <c r="E81" s="5">
        <v>37.46</v>
      </c>
      <c r="F81" s="5">
        <v>50</v>
      </c>
      <c r="G81" s="6"/>
      <c r="H81" s="7" t="s">
        <v>59</v>
      </c>
      <c r="I81" s="5">
        <v>268.49</v>
      </c>
      <c r="J81" s="5">
        <v>3.9420000000000002</v>
      </c>
      <c r="K81" s="5">
        <v>1.0660000000000001</v>
      </c>
      <c r="L81" s="5">
        <v>37.51</v>
      </c>
      <c r="M81" s="5">
        <v>50.04</v>
      </c>
      <c r="N81" s="6"/>
      <c r="O81" s="7" t="s">
        <v>59</v>
      </c>
      <c r="P81" s="5">
        <v>268.77</v>
      </c>
      <c r="Q81" s="5">
        <v>4.0670000000000002</v>
      </c>
      <c r="R81" s="5">
        <v>1.0289999999999999</v>
      </c>
      <c r="S81" s="5">
        <v>37.200000000000003</v>
      </c>
      <c r="T81" s="5">
        <v>50.03</v>
      </c>
    </row>
    <row r="82" spans="1:20" x14ac:dyDescent="0.2">
      <c r="A82" s="10" t="s">
        <v>60</v>
      </c>
      <c r="B82" s="8">
        <f>AVERAGE(B77:B81)</f>
        <v>268.72399999999999</v>
      </c>
      <c r="C82" s="9">
        <f t="shared" ref="C82" si="27">AVERAGE(C77:C81)</f>
        <v>4.0133999999999999</v>
      </c>
      <c r="D82" s="9">
        <f>AVERAGE(D76:D81)</f>
        <v>0.97766666666666657</v>
      </c>
      <c r="E82" s="9">
        <f>AVERAGE(E77:E81)</f>
        <v>37.496000000000002</v>
      </c>
      <c r="F82" s="8">
        <f t="shared" ref="F82" si="28">AVERAGE(F77:F81)</f>
        <v>49.841999999999999</v>
      </c>
      <c r="G82" s="6"/>
      <c r="H82" s="10" t="s">
        <v>60</v>
      </c>
      <c r="I82" s="8">
        <f>AVERAGE(I77:I81)</f>
        <v>268.58</v>
      </c>
      <c r="J82" s="9">
        <f t="shared" ref="J82:M82" si="29">AVERAGE(J77:J81)</f>
        <v>3.9728000000000003</v>
      </c>
      <c r="K82" s="9">
        <f t="shared" si="29"/>
        <v>1.0395999999999999</v>
      </c>
      <c r="L82" s="9">
        <f t="shared" si="29"/>
        <v>37.417999999999992</v>
      </c>
      <c r="M82" s="8">
        <f t="shared" si="29"/>
        <v>50.076000000000008</v>
      </c>
      <c r="N82" s="6"/>
      <c r="O82" s="10" t="s">
        <v>60</v>
      </c>
      <c r="P82" s="8">
        <f>AVERAGE(P77:P81)</f>
        <v>268.62200000000001</v>
      </c>
      <c r="Q82" s="9">
        <f>AVERAGE(Q77:Q81)</f>
        <v>4.0491999999999999</v>
      </c>
      <c r="R82" s="9">
        <f>AVERAGE(R77:R81)</f>
        <v>1.0416000000000001</v>
      </c>
      <c r="S82" s="9">
        <f t="shared" ref="S82:T82" si="30">AVERAGE(S77:S81)</f>
        <v>37.484000000000002</v>
      </c>
      <c r="T82" s="8">
        <f t="shared" si="30"/>
        <v>50.022000000000006</v>
      </c>
    </row>
    <row r="83" spans="1:20" x14ac:dyDescent="0.2">
      <c r="A83" s="10" t="s">
        <v>61</v>
      </c>
      <c r="B83" s="12">
        <f>B76-B82</f>
        <v>0.27600000000001046</v>
      </c>
      <c r="C83" s="13">
        <f t="shared" ref="C83" si="31">C76-C82</f>
        <v>-1.3399999999999856E-2</v>
      </c>
      <c r="D83" s="12">
        <f>D76-D82</f>
        <v>2.2333333333333427E-2</v>
      </c>
      <c r="E83" s="12">
        <f t="shared" ref="E83:F83" si="32">E76-E82</f>
        <v>3.9999999999977831E-3</v>
      </c>
      <c r="F83" s="12">
        <f t="shared" si="32"/>
        <v>0.15800000000000125</v>
      </c>
      <c r="G83" s="6"/>
      <c r="H83" s="10" t="s">
        <v>61</v>
      </c>
      <c r="I83" s="12">
        <f>I76-I82</f>
        <v>0.42000000000001592</v>
      </c>
      <c r="J83" s="13">
        <f t="shared" ref="J83:M83" si="33">J76-J82</f>
        <v>2.7199999999999669E-2</v>
      </c>
      <c r="K83" s="13">
        <f t="shared" si="33"/>
        <v>-3.9599999999999858E-2</v>
      </c>
      <c r="L83" s="13">
        <f t="shared" si="33"/>
        <v>8.2000000000007844E-2</v>
      </c>
      <c r="M83" s="12">
        <f t="shared" si="33"/>
        <v>-7.6000000000007617E-2</v>
      </c>
      <c r="N83" s="6"/>
      <c r="O83" s="10" t="s">
        <v>61</v>
      </c>
      <c r="P83" s="12">
        <f>P76-P82</f>
        <v>0.3779999999999859</v>
      </c>
      <c r="Q83" s="13">
        <f t="shared" ref="Q83:T83" si="34">Q76-Q82</f>
        <v>-4.919999999999991E-2</v>
      </c>
      <c r="R83" s="13">
        <f t="shared" si="34"/>
        <v>-4.1600000000000081E-2</v>
      </c>
      <c r="S83" s="13">
        <f t="shared" si="34"/>
        <v>1.5999999999998238E-2</v>
      </c>
      <c r="T83" s="12">
        <f t="shared" si="34"/>
        <v>-2.2000000000005571E-2</v>
      </c>
    </row>
    <row r="84" spans="1:20" x14ac:dyDescent="0.2">
      <c r="A84" s="10" t="s">
        <v>62</v>
      </c>
      <c r="B84" s="16">
        <f>B83/B76*100</f>
        <v>0.10260223048327527</v>
      </c>
      <c r="C84" s="16">
        <f t="shared" ref="C84" si="35">C83/C76*100</f>
        <v>-0.33499999999999641</v>
      </c>
      <c r="D84" s="16">
        <f>D83/D76*100</f>
        <v>2.2333333333333427</v>
      </c>
      <c r="E84" s="16">
        <f t="shared" ref="E84:F84" si="36">E83/E76*100</f>
        <v>1.0666666666660754E-2</v>
      </c>
      <c r="F84" s="16">
        <f t="shared" si="36"/>
        <v>0.3160000000000025</v>
      </c>
      <c r="G84" s="6"/>
      <c r="H84" s="10" t="s">
        <v>62</v>
      </c>
      <c r="I84" s="16">
        <f>I83/I76*100</f>
        <v>0.15613382899628844</v>
      </c>
      <c r="J84" s="16">
        <f t="shared" ref="J84:M84" si="37">J83/J76*100</f>
        <v>0.67999999999999172</v>
      </c>
      <c r="K84" s="16">
        <f t="shared" si="37"/>
        <v>-3.9599999999999858</v>
      </c>
      <c r="L84" s="16">
        <f t="shared" si="37"/>
        <v>0.21866666666668758</v>
      </c>
      <c r="M84" s="16">
        <f t="shared" si="37"/>
        <v>-0.15200000000001523</v>
      </c>
      <c r="N84" s="6"/>
      <c r="O84" s="10" t="s">
        <v>62</v>
      </c>
      <c r="P84" s="16">
        <f>P83/P76*100</f>
        <v>0.14052044609664904</v>
      </c>
      <c r="Q84" s="16">
        <f t="shared" ref="Q84:T84" si="38">Q83/Q76*100</f>
        <v>-1.2299999999999978</v>
      </c>
      <c r="R84" s="16">
        <f t="shared" si="38"/>
        <v>-4.1600000000000081</v>
      </c>
      <c r="S84" s="16">
        <f t="shared" si="38"/>
        <v>4.2666666666661968E-2</v>
      </c>
      <c r="T84" s="16">
        <f t="shared" si="38"/>
        <v>-4.4000000000011141E-2</v>
      </c>
    </row>
    <row r="88" spans="1:20" ht="18.75" x14ac:dyDescent="0.2">
      <c r="A88" s="1" t="s">
        <v>63</v>
      </c>
      <c r="B88" s="1"/>
      <c r="C88" s="17" t="s">
        <v>64</v>
      </c>
      <c r="D88" s="17" t="s">
        <v>47</v>
      </c>
      <c r="E88" s="18" t="s">
        <v>37</v>
      </c>
      <c r="F88" s="18"/>
      <c r="G88" s="6"/>
      <c r="H88" s="1" t="s">
        <v>65</v>
      </c>
      <c r="I88" s="1"/>
      <c r="J88" s="17" t="s">
        <v>64</v>
      </c>
      <c r="K88" s="17" t="s">
        <v>47</v>
      </c>
      <c r="L88" s="19" t="s">
        <v>4</v>
      </c>
      <c r="M88" s="19"/>
      <c r="N88" s="6"/>
      <c r="O88" s="1" t="s">
        <v>66</v>
      </c>
      <c r="P88" s="1"/>
      <c r="Q88" s="17" t="s">
        <v>64</v>
      </c>
      <c r="R88" s="17" t="s">
        <v>47</v>
      </c>
      <c r="S88" s="19" t="s">
        <v>4</v>
      </c>
      <c r="T88" s="19"/>
    </row>
    <row r="89" spans="1:20" x14ac:dyDescent="0.2">
      <c r="A89" s="5"/>
      <c r="B89" s="5" t="s">
        <v>6</v>
      </c>
      <c r="C89" s="5" t="s">
        <v>7</v>
      </c>
      <c r="D89" s="5" t="s">
        <v>43</v>
      </c>
      <c r="E89" s="5" t="s">
        <v>44</v>
      </c>
      <c r="F89" s="5" t="s">
        <v>8</v>
      </c>
      <c r="G89" s="6"/>
      <c r="H89" s="5"/>
      <c r="I89" s="5" t="s">
        <v>6</v>
      </c>
      <c r="J89" s="5" t="s">
        <v>7</v>
      </c>
      <c r="K89" s="5" t="s">
        <v>43</v>
      </c>
      <c r="L89" s="5" t="s">
        <v>45</v>
      </c>
      <c r="M89" s="5" t="s">
        <v>8</v>
      </c>
      <c r="N89" s="6"/>
      <c r="O89" s="5"/>
      <c r="P89" s="5" t="s">
        <v>6</v>
      </c>
      <c r="Q89" s="5" t="s">
        <v>7</v>
      </c>
      <c r="R89" s="5" t="s">
        <v>43</v>
      </c>
      <c r="S89" s="5" t="s">
        <v>45</v>
      </c>
      <c r="T89" s="5" t="s">
        <v>8</v>
      </c>
    </row>
    <row r="90" spans="1:20" x14ac:dyDescent="0.2">
      <c r="A90" s="7" t="s">
        <v>54</v>
      </c>
      <c r="B90" s="5">
        <v>300</v>
      </c>
      <c r="C90" s="5">
        <v>4</v>
      </c>
      <c r="D90" s="5">
        <v>1</v>
      </c>
      <c r="E90" s="5">
        <v>25</v>
      </c>
      <c r="F90" s="5">
        <v>50</v>
      </c>
      <c r="G90" s="6"/>
      <c r="H90" s="7" t="s">
        <v>54</v>
      </c>
      <c r="I90" s="5">
        <v>300</v>
      </c>
      <c r="J90" s="5">
        <v>4</v>
      </c>
      <c r="K90" s="5">
        <v>1</v>
      </c>
      <c r="L90" s="5">
        <v>25</v>
      </c>
      <c r="M90" s="5">
        <v>50</v>
      </c>
      <c r="N90" s="6"/>
      <c r="O90" s="7" t="s">
        <v>54</v>
      </c>
      <c r="P90" s="5">
        <v>300</v>
      </c>
      <c r="Q90" s="5">
        <v>4</v>
      </c>
      <c r="R90" s="5">
        <v>1</v>
      </c>
      <c r="S90" s="5">
        <v>25</v>
      </c>
      <c r="T90" s="5">
        <v>50</v>
      </c>
    </row>
    <row r="91" spans="1:20" x14ac:dyDescent="0.2">
      <c r="A91" s="7" t="s">
        <v>55</v>
      </c>
      <c r="B91" s="5">
        <v>299.97000000000003</v>
      </c>
      <c r="C91" s="5">
        <v>3.96</v>
      </c>
      <c r="D91" s="6">
        <v>0.96199999999999997</v>
      </c>
      <c r="E91" s="5">
        <v>24.95</v>
      </c>
      <c r="F91" s="5">
        <v>50</v>
      </c>
      <c r="G91" s="6"/>
      <c r="H91" s="7" t="s">
        <v>55</v>
      </c>
      <c r="I91" s="5">
        <v>299.45999999999998</v>
      </c>
      <c r="J91" s="5">
        <v>3.996</v>
      </c>
      <c r="K91" s="5">
        <v>1.032</v>
      </c>
      <c r="L91" s="5">
        <v>24.94</v>
      </c>
      <c r="M91" s="5">
        <v>49.95</v>
      </c>
      <c r="N91" s="6"/>
      <c r="O91" s="7" t="s">
        <v>55</v>
      </c>
      <c r="P91" s="5">
        <v>299.41000000000003</v>
      </c>
      <c r="Q91" s="5">
        <v>3.9409999999999998</v>
      </c>
      <c r="R91" s="5">
        <v>0.95499999999999996</v>
      </c>
      <c r="S91" s="5">
        <v>25.11</v>
      </c>
      <c r="T91" s="5">
        <v>50.01</v>
      </c>
    </row>
    <row r="92" spans="1:20" x14ac:dyDescent="0.2">
      <c r="A92" s="7" t="s">
        <v>56</v>
      </c>
      <c r="B92" s="5">
        <v>299.64</v>
      </c>
      <c r="C92" s="5">
        <v>3.9649999999999999</v>
      </c>
      <c r="D92" s="5">
        <v>0.96099999999999997</v>
      </c>
      <c r="E92" s="5">
        <v>25.04</v>
      </c>
      <c r="F92" s="5">
        <v>50.12</v>
      </c>
      <c r="G92" s="6"/>
      <c r="H92" s="7" t="s">
        <v>56</v>
      </c>
      <c r="I92" s="5">
        <v>299.44</v>
      </c>
      <c r="J92" s="5">
        <v>4.0069999999999997</v>
      </c>
      <c r="K92" s="5">
        <v>1.0620000000000001</v>
      </c>
      <c r="L92" s="5">
        <v>25.01</v>
      </c>
      <c r="M92" s="5">
        <v>49.78</v>
      </c>
      <c r="N92" s="6"/>
      <c r="O92" s="7" t="s">
        <v>56</v>
      </c>
      <c r="P92" s="5">
        <v>299.79000000000002</v>
      </c>
      <c r="Q92" s="5">
        <v>3.9580000000000002</v>
      </c>
      <c r="R92" s="5">
        <v>0.94899999999999995</v>
      </c>
      <c r="S92" s="5">
        <v>25.11</v>
      </c>
      <c r="T92" s="5">
        <v>50.16</v>
      </c>
    </row>
    <row r="93" spans="1:20" x14ac:dyDescent="0.2">
      <c r="A93" s="7" t="s">
        <v>57</v>
      </c>
      <c r="B93" s="5">
        <v>299.94</v>
      </c>
      <c r="C93" s="5">
        <v>3.97</v>
      </c>
      <c r="D93" s="5">
        <v>0.97599999999999998</v>
      </c>
      <c r="E93" s="5">
        <v>25.05</v>
      </c>
      <c r="F93" s="5">
        <v>50.17</v>
      </c>
      <c r="G93" s="6"/>
      <c r="H93" s="7" t="s">
        <v>57</v>
      </c>
      <c r="I93" s="5">
        <v>299.42</v>
      </c>
      <c r="J93" s="5">
        <v>4.0140000000000002</v>
      </c>
      <c r="K93" s="5">
        <v>1.0609999999999999</v>
      </c>
      <c r="L93" s="5">
        <v>25.04</v>
      </c>
      <c r="M93" s="5">
        <v>49.74</v>
      </c>
      <c r="N93" s="6"/>
      <c r="O93" s="7" t="s">
        <v>57</v>
      </c>
      <c r="P93" s="5">
        <v>299.72000000000003</v>
      </c>
      <c r="Q93" s="5">
        <v>3.9580000000000002</v>
      </c>
      <c r="R93" s="5">
        <v>0.96499999999999997</v>
      </c>
      <c r="S93" s="5">
        <v>25.06</v>
      </c>
      <c r="T93" s="5">
        <v>50.18</v>
      </c>
    </row>
    <row r="94" spans="1:20" x14ac:dyDescent="0.2">
      <c r="A94" s="7" t="s">
        <v>58</v>
      </c>
      <c r="B94" s="5">
        <v>299.93</v>
      </c>
      <c r="C94" s="5">
        <v>3.95</v>
      </c>
      <c r="D94" s="5">
        <v>0.96599999999999997</v>
      </c>
      <c r="E94" s="5">
        <v>25.08</v>
      </c>
      <c r="F94" s="5">
        <v>50.15</v>
      </c>
      <c r="G94" s="6"/>
      <c r="H94" s="7" t="s">
        <v>58</v>
      </c>
      <c r="I94" s="5">
        <v>299.41000000000003</v>
      </c>
      <c r="J94" s="5">
        <v>3.9849999999999999</v>
      </c>
      <c r="K94" s="5">
        <v>1.0580000000000001</v>
      </c>
      <c r="L94" s="5">
        <v>25.08</v>
      </c>
      <c r="M94" s="5">
        <v>49.77</v>
      </c>
      <c r="N94" s="6"/>
      <c r="O94" s="7" t="s">
        <v>58</v>
      </c>
      <c r="P94" s="5">
        <v>299.75</v>
      </c>
      <c r="Q94" s="5">
        <v>3.968</v>
      </c>
      <c r="R94" s="5">
        <v>0.94699999999999995</v>
      </c>
      <c r="S94" s="5">
        <v>25.02</v>
      </c>
      <c r="T94" s="5">
        <v>50.12</v>
      </c>
    </row>
    <row r="95" spans="1:20" x14ac:dyDescent="0.2">
      <c r="A95" s="7" t="s">
        <v>59</v>
      </c>
      <c r="B95" s="5">
        <v>299.58</v>
      </c>
      <c r="C95" s="5">
        <v>3.944</v>
      </c>
      <c r="D95" s="5">
        <v>0.99199999999999999</v>
      </c>
      <c r="E95" s="5">
        <v>25.08</v>
      </c>
      <c r="F95" s="5">
        <v>50.11</v>
      </c>
      <c r="G95" s="6"/>
      <c r="H95" s="7" t="s">
        <v>59</v>
      </c>
      <c r="I95" s="5">
        <v>299.41000000000003</v>
      </c>
      <c r="J95" s="5">
        <v>3.9769999999999999</v>
      </c>
      <c r="K95" s="5">
        <v>1.0389999999999999</v>
      </c>
      <c r="L95" s="5">
        <v>25.02</v>
      </c>
      <c r="M95" s="5">
        <v>49.77</v>
      </c>
      <c r="N95" s="6"/>
      <c r="O95" s="7" t="s">
        <v>59</v>
      </c>
      <c r="P95" s="5">
        <v>300.06</v>
      </c>
      <c r="Q95" s="5">
        <v>3.9590000000000001</v>
      </c>
      <c r="R95" s="5">
        <v>1.0309999999999999</v>
      </c>
      <c r="S95" s="5">
        <v>24.95</v>
      </c>
      <c r="T95" s="5">
        <v>49.99</v>
      </c>
    </row>
    <row r="96" spans="1:20" x14ac:dyDescent="0.2">
      <c r="A96" s="10" t="s">
        <v>60</v>
      </c>
      <c r="B96" s="8">
        <f>AVERAGE(B91:B95)</f>
        <v>299.81200000000001</v>
      </c>
      <c r="C96" s="9">
        <f t="shared" ref="C96" si="39">AVERAGE(C91:C95)</f>
        <v>3.9577999999999998</v>
      </c>
      <c r="D96" s="9">
        <f>AVERAGE(D90:D95)</f>
        <v>0.97616666666666674</v>
      </c>
      <c r="E96" s="9">
        <f t="shared" ref="E96:F96" si="40">AVERAGE(E91:E95)</f>
        <v>25.04</v>
      </c>
      <c r="F96" s="8">
        <f t="shared" si="40"/>
        <v>50.11</v>
      </c>
      <c r="G96" s="6"/>
      <c r="H96" s="10" t="s">
        <v>60</v>
      </c>
      <c r="I96" s="8">
        <f>AVERAGE(I91:I95)</f>
        <v>299.428</v>
      </c>
      <c r="J96" s="9">
        <f t="shared" ref="J96:M96" si="41">AVERAGE(J91:J95)</f>
        <v>3.9958</v>
      </c>
      <c r="K96" s="9">
        <f t="shared" si="41"/>
        <v>1.0504</v>
      </c>
      <c r="L96" s="9">
        <f t="shared" si="41"/>
        <v>25.018000000000001</v>
      </c>
      <c r="M96" s="8">
        <f t="shared" si="41"/>
        <v>49.802000000000007</v>
      </c>
      <c r="N96" s="6"/>
      <c r="O96" s="10" t="s">
        <v>60</v>
      </c>
      <c r="P96" s="8">
        <f>AVERAGE(P91:P95)</f>
        <v>299.74599999999998</v>
      </c>
      <c r="Q96" s="9">
        <f>AVERAGE(Q91:Q95)</f>
        <v>3.9567999999999999</v>
      </c>
      <c r="R96" s="9">
        <f>AVERAGE(R91:R95)</f>
        <v>0.96939999999999993</v>
      </c>
      <c r="S96" s="9">
        <f t="shared" ref="S96:T96" si="42">AVERAGE(S91:S95)</f>
        <v>25.05</v>
      </c>
      <c r="T96" s="8">
        <f t="shared" si="42"/>
        <v>50.091999999999999</v>
      </c>
    </row>
    <row r="97" spans="1:27" x14ac:dyDescent="0.2">
      <c r="A97" s="10" t="s">
        <v>61</v>
      </c>
      <c r="B97" s="12">
        <f>B90-B96</f>
        <v>0.18799999999998818</v>
      </c>
      <c r="C97" s="13">
        <f t="shared" ref="C97" si="43">C90-C96</f>
        <v>4.2200000000000237E-2</v>
      </c>
      <c r="D97" s="12">
        <f>D90-D96</f>
        <v>2.3833333333333262E-2</v>
      </c>
      <c r="E97" s="12">
        <f t="shared" ref="E97:F97" si="44">E90-E96</f>
        <v>-3.9999999999999147E-2</v>
      </c>
      <c r="F97" s="12">
        <f t="shared" si="44"/>
        <v>-0.10999999999999943</v>
      </c>
      <c r="G97" s="6"/>
      <c r="H97" s="10" t="s">
        <v>61</v>
      </c>
      <c r="I97" s="12">
        <f>I90-I96</f>
        <v>0.57200000000000273</v>
      </c>
      <c r="J97" s="13">
        <f t="shared" ref="J97:M97" si="45">J90-J96</f>
        <v>4.1999999999999815E-3</v>
      </c>
      <c r="K97" s="13">
        <f t="shared" si="45"/>
        <v>-5.04E-2</v>
      </c>
      <c r="L97" s="13">
        <f t="shared" si="45"/>
        <v>-1.8000000000000682E-2</v>
      </c>
      <c r="M97" s="12">
        <f t="shared" si="45"/>
        <v>0.19799999999999329</v>
      </c>
      <c r="N97" s="6"/>
      <c r="O97" s="10" t="s">
        <v>61</v>
      </c>
      <c r="P97" s="12">
        <f>P90-P96</f>
        <v>0.2540000000000191</v>
      </c>
      <c r="Q97" s="13">
        <f t="shared" ref="Q97:T97" si="46">Q90-Q96</f>
        <v>4.3200000000000127E-2</v>
      </c>
      <c r="R97" s="13">
        <f t="shared" si="46"/>
        <v>3.0600000000000072E-2</v>
      </c>
      <c r="S97" s="13">
        <f t="shared" si="46"/>
        <v>-5.0000000000000711E-2</v>
      </c>
      <c r="T97" s="12">
        <f t="shared" si="46"/>
        <v>-9.1999999999998749E-2</v>
      </c>
    </row>
    <row r="98" spans="1:27" x14ac:dyDescent="0.2">
      <c r="A98" s="10" t="s">
        <v>62</v>
      </c>
      <c r="B98" s="16">
        <f>B97/B90*100</f>
        <v>6.2666666666662735E-2</v>
      </c>
      <c r="C98" s="16">
        <f t="shared" ref="C98" si="47">C97/C90*100</f>
        <v>1.0550000000000059</v>
      </c>
      <c r="D98" s="16">
        <f>D97/D90*100</f>
        <v>2.3833333333333262</v>
      </c>
      <c r="E98" s="16">
        <f t="shared" ref="E98:F98" si="48">E97/E90*100</f>
        <v>-0.15999999999999659</v>
      </c>
      <c r="F98" s="16">
        <f t="shared" si="48"/>
        <v>-0.21999999999999884</v>
      </c>
      <c r="G98" s="6"/>
      <c r="H98" s="10" t="s">
        <v>62</v>
      </c>
      <c r="I98" s="16">
        <f>I97/I90*100</f>
        <v>0.19066666666666759</v>
      </c>
      <c r="J98" s="16">
        <f t="shared" ref="J98:M98" si="49">J97/J90*100</f>
        <v>0.10499999999999954</v>
      </c>
      <c r="K98" s="16">
        <f t="shared" si="49"/>
        <v>-5.04</v>
      </c>
      <c r="L98" s="16">
        <f t="shared" si="49"/>
        <v>-7.2000000000002728E-2</v>
      </c>
      <c r="M98" s="16">
        <f t="shared" si="49"/>
        <v>0.39599999999998653</v>
      </c>
      <c r="N98" s="6"/>
      <c r="O98" s="10" t="s">
        <v>62</v>
      </c>
      <c r="P98" s="16">
        <f>P97/P90*100</f>
        <v>8.4666666666673038E-2</v>
      </c>
      <c r="Q98" s="16">
        <f t="shared" ref="Q98:T98" si="50">Q97/Q90*100</f>
        <v>1.0800000000000032</v>
      </c>
      <c r="R98" s="16">
        <f t="shared" si="50"/>
        <v>3.0600000000000072</v>
      </c>
      <c r="S98" s="16">
        <f t="shared" si="50"/>
        <v>-0.20000000000000281</v>
      </c>
      <c r="T98" s="16">
        <f t="shared" si="50"/>
        <v>-0.1839999999999975</v>
      </c>
    </row>
    <row r="101" spans="1:27" ht="13.5" customHeight="1" x14ac:dyDescent="0.2"/>
    <row r="102" spans="1:27" ht="18.75" x14ac:dyDescent="0.2">
      <c r="A102" s="18" t="s">
        <v>67</v>
      </c>
      <c r="B102" s="18"/>
      <c r="C102" s="17" t="s">
        <v>68</v>
      </c>
      <c r="D102" s="17" t="s">
        <v>47</v>
      </c>
      <c r="E102" s="18" t="s">
        <v>37</v>
      </c>
      <c r="F102" s="18"/>
      <c r="G102" s="6"/>
      <c r="H102" s="18" t="s">
        <v>69</v>
      </c>
      <c r="I102" s="18"/>
      <c r="J102" s="17" t="s">
        <v>68</v>
      </c>
      <c r="K102" s="17" t="s">
        <v>47</v>
      </c>
      <c r="L102" s="19" t="s">
        <v>4</v>
      </c>
      <c r="M102" s="19"/>
      <c r="N102" s="6"/>
      <c r="O102" s="18" t="s">
        <v>70</v>
      </c>
      <c r="P102" s="18"/>
      <c r="Q102" s="17" t="s">
        <v>68</v>
      </c>
      <c r="R102" s="17" t="s">
        <v>47</v>
      </c>
      <c r="S102" s="18" t="s">
        <v>37</v>
      </c>
      <c r="T102" s="18"/>
      <c r="V102" s="18" t="s">
        <v>71</v>
      </c>
      <c r="W102" s="18"/>
      <c r="X102" s="17" t="s">
        <v>68</v>
      </c>
      <c r="Y102" s="17" t="s">
        <v>47</v>
      </c>
      <c r="Z102" s="18" t="s">
        <v>72</v>
      </c>
      <c r="AA102" s="18"/>
    </row>
    <row r="103" spans="1:27" x14ac:dyDescent="0.2">
      <c r="A103" s="5"/>
      <c r="B103" s="5" t="s">
        <v>6</v>
      </c>
      <c r="C103" s="5" t="s">
        <v>7</v>
      </c>
      <c r="D103" s="5" t="s">
        <v>43</v>
      </c>
      <c r="E103" s="5" t="s">
        <v>44</v>
      </c>
      <c r="F103" s="5" t="s">
        <v>8</v>
      </c>
      <c r="G103" s="6"/>
      <c r="H103" s="5"/>
      <c r="I103" s="5" t="s">
        <v>6</v>
      </c>
      <c r="J103" s="5" t="s">
        <v>7</v>
      </c>
      <c r="K103" s="5" t="s">
        <v>43</v>
      </c>
      <c r="L103" s="5" t="s">
        <v>45</v>
      </c>
      <c r="M103" s="5" t="s">
        <v>8</v>
      </c>
      <c r="N103" s="6"/>
      <c r="O103" s="5"/>
      <c r="P103" s="5" t="s">
        <v>6</v>
      </c>
      <c r="Q103" s="5" t="s">
        <v>7</v>
      </c>
      <c r="R103" s="5" t="s">
        <v>43</v>
      </c>
      <c r="S103" s="5" t="s">
        <v>45</v>
      </c>
      <c r="T103" s="5" t="s">
        <v>8</v>
      </c>
      <c r="V103" s="5"/>
      <c r="W103" s="5" t="s">
        <v>6</v>
      </c>
      <c r="X103" s="5" t="s">
        <v>7</v>
      </c>
      <c r="Y103" s="5" t="s">
        <v>43</v>
      </c>
      <c r="Z103" s="5" t="s">
        <v>45</v>
      </c>
      <c r="AA103" s="5" t="s">
        <v>8</v>
      </c>
    </row>
    <row r="104" spans="1:27" x14ac:dyDescent="0.2">
      <c r="A104" s="7" t="s">
        <v>54</v>
      </c>
      <c r="B104" s="5">
        <v>219</v>
      </c>
      <c r="C104" s="5">
        <v>4</v>
      </c>
      <c r="D104" s="5">
        <v>1</v>
      </c>
      <c r="E104" s="5">
        <v>25</v>
      </c>
      <c r="F104" s="5">
        <v>50</v>
      </c>
      <c r="G104" s="6"/>
      <c r="H104" s="7" t="s">
        <v>54</v>
      </c>
      <c r="I104" s="5">
        <v>219</v>
      </c>
      <c r="J104" s="5">
        <v>4</v>
      </c>
      <c r="K104" s="5">
        <v>1</v>
      </c>
      <c r="L104" s="5">
        <v>25</v>
      </c>
      <c r="M104" s="5">
        <v>50</v>
      </c>
      <c r="N104" s="6"/>
      <c r="O104" s="7" t="s">
        <v>54</v>
      </c>
      <c r="P104" s="5">
        <v>219</v>
      </c>
      <c r="Q104" s="5">
        <v>4</v>
      </c>
      <c r="R104" s="5">
        <v>1</v>
      </c>
      <c r="S104" s="5">
        <v>25</v>
      </c>
      <c r="T104" s="5">
        <v>50</v>
      </c>
      <c r="V104" s="7" t="s">
        <v>9</v>
      </c>
      <c r="W104" s="5">
        <v>219</v>
      </c>
      <c r="X104" s="5">
        <v>4</v>
      </c>
      <c r="Y104" s="5">
        <v>1</v>
      </c>
      <c r="Z104" s="5">
        <v>25</v>
      </c>
      <c r="AA104" s="5">
        <v>50</v>
      </c>
    </row>
    <row r="105" spans="1:27" x14ac:dyDescent="0.2">
      <c r="A105" s="7" t="s">
        <v>55</v>
      </c>
      <c r="B105" s="5">
        <v>218.4</v>
      </c>
      <c r="C105" s="5">
        <v>3.9769999999999999</v>
      </c>
      <c r="D105" s="6">
        <v>0.97</v>
      </c>
      <c r="E105" s="5">
        <v>25.06</v>
      </c>
      <c r="F105" s="5">
        <v>50.09</v>
      </c>
      <c r="G105" s="6"/>
      <c r="H105" s="7" t="s">
        <v>55</v>
      </c>
      <c r="I105" s="5">
        <v>218.72</v>
      </c>
      <c r="J105" s="5">
        <v>3.9489999999999998</v>
      </c>
      <c r="K105" s="5">
        <v>1.042</v>
      </c>
      <c r="L105" s="5">
        <v>25.02</v>
      </c>
      <c r="M105" s="5">
        <v>50</v>
      </c>
      <c r="N105" s="6"/>
      <c r="O105" s="7" t="s">
        <v>55</v>
      </c>
      <c r="P105" s="5">
        <v>218.43</v>
      </c>
      <c r="Q105" s="5">
        <v>3.9710000000000001</v>
      </c>
      <c r="R105" s="5">
        <v>1.097</v>
      </c>
      <c r="S105" s="5">
        <v>25.01</v>
      </c>
      <c r="T105" s="5">
        <v>49.96</v>
      </c>
      <c r="V105" s="7" t="s">
        <v>10</v>
      </c>
      <c r="W105" s="5">
        <v>218.96</v>
      </c>
      <c r="X105" s="5">
        <v>3.9750000000000001</v>
      </c>
      <c r="Y105" s="5">
        <v>0.96399999999999997</v>
      </c>
      <c r="Z105" s="5">
        <v>24.95</v>
      </c>
      <c r="AA105" s="5">
        <v>49.98</v>
      </c>
    </row>
    <row r="106" spans="1:27" x14ac:dyDescent="0.2">
      <c r="A106" s="7" t="s">
        <v>56</v>
      </c>
      <c r="B106" s="5">
        <v>218.61</v>
      </c>
      <c r="C106" s="5">
        <v>3.984</v>
      </c>
      <c r="D106" s="5">
        <v>0.97099999999999997</v>
      </c>
      <c r="E106" s="5">
        <v>25.08</v>
      </c>
      <c r="F106" s="5">
        <v>50.12</v>
      </c>
      <c r="G106" s="6"/>
      <c r="H106" s="7" t="s">
        <v>56</v>
      </c>
      <c r="I106" s="5">
        <v>218.72</v>
      </c>
      <c r="J106" s="5">
        <v>3.9820000000000002</v>
      </c>
      <c r="K106" s="5">
        <v>1.093</v>
      </c>
      <c r="L106" s="5">
        <v>25.15</v>
      </c>
      <c r="M106" s="5">
        <v>49.82</v>
      </c>
      <c r="N106" s="6"/>
      <c r="O106" s="7" t="s">
        <v>56</v>
      </c>
      <c r="P106" s="5">
        <v>218.41</v>
      </c>
      <c r="Q106" s="5">
        <v>3.9550000000000001</v>
      </c>
      <c r="R106" s="5">
        <v>1.071</v>
      </c>
      <c r="S106" s="5">
        <v>25.11</v>
      </c>
      <c r="T106" s="5">
        <v>49.82</v>
      </c>
      <c r="V106" s="7" t="s">
        <v>11</v>
      </c>
      <c r="W106" s="5">
        <v>218.96</v>
      </c>
      <c r="X106" s="5">
        <v>3.9769999999999999</v>
      </c>
      <c r="Y106" s="5">
        <v>0.98799999999999999</v>
      </c>
      <c r="Z106" s="5">
        <v>24.94</v>
      </c>
      <c r="AA106" s="5">
        <v>49.94</v>
      </c>
    </row>
    <row r="107" spans="1:27" x14ac:dyDescent="0.2">
      <c r="A107" s="7" t="s">
        <v>57</v>
      </c>
      <c r="B107" s="5">
        <v>218.74</v>
      </c>
      <c r="C107" s="5">
        <v>3.9809999999999999</v>
      </c>
      <c r="D107" s="5">
        <v>1.0660000000000001</v>
      </c>
      <c r="E107" s="5">
        <v>24.99</v>
      </c>
      <c r="F107" s="5">
        <v>50.13</v>
      </c>
      <c r="G107" s="6"/>
      <c r="H107" s="7" t="s">
        <v>57</v>
      </c>
      <c r="I107" s="5">
        <v>218.89</v>
      </c>
      <c r="J107" s="5">
        <v>3.9820000000000002</v>
      </c>
      <c r="K107" s="5">
        <v>1.097</v>
      </c>
      <c r="L107" s="5">
        <v>24.94</v>
      </c>
      <c r="M107" s="5">
        <v>49.89</v>
      </c>
      <c r="N107" s="6"/>
      <c r="O107" s="7" t="s">
        <v>57</v>
      </c>
      <c r="P107" s="5">
        <v>218.44</v>
      </c>
      <c r="Q107" s="5">
        <v>3.9630000000000001</v>
      </c>
      <c r="R107" s="5">
        <v>1.07</v>
      </c>
      <c r="S107" s="5">
        <v>25.12</v>
      </c>
      <c r="T107" s="5">
        <v>49.82</v>
      </c>
      <c r="V107" s="7" t="s">
        <v>12</v>
      </c>
      <c r="W107" s="5">
        <v>218.97</v>
      </c>
      <c r="X107" s="5">
        <v>3.9780000000000002</v>
      </c>
      <c r="Y107" s="5">
        <v>0.99399999999999999</v>
      </c>
      <c r="Z107" s="5">
        <v>24.93</v>
      </c>
      <c r="AA107" s="5">
        <v>50.02</v>
      </c>
    </row>
    <row r="108" spans="1:27" x14ac:dyDescent="0.2">
      <c r="A108" s="7" t="s">
        <v>58</v>
      </c>
      <c r="B108" s="5">
        <v>218.68</v>
      </c>
      <c r="C108" s="5">
        <v>3.9780000000000002</v>
      </c>
      <c r="D108" s="5">
        <v>0.97299999999999998</v>
      </c>
      <c r="E108" s="5">
        <v>25.01</v>
      </c>
      <c r="F108" s="5">
        <v>50.13</v>
      </c>
      <c r="G108" s="6"/>
      <c r="H108" s="7" t="s">
        <v>58</v>
      </c>
      <c r="I108" s="5">
        <v>218.94</v>
      </c>
      <c r="J108" s="5">
        <v>3.9769999999999999</v>
      </c>
      <c r="K108" s="5">
        <v>1.1140000000000001</v>
      </c>
      <c r="L108" s="5">
        <v>25.09</v>
      </c>
      <c r="M108" s="5">
        <v>49.87</v>
      </c>
      <c r="N108" s="6"/>
      <c r="O108" s="7" t="s">
        <v>58</v>
      </c>
      <c r="P108" s="5">
        <v>218.51</v>
      </c>
      <c r="Q108" s="5">
        <v>3.9550000000000001</v>
      </c>
      <c r="R108" s="5">
        <v>1.117</v>
      </c>
      <c r="S108" s="5">
        <v>25.08</v>
      </c>
      <c r="T108" s="5">
        <v>49.94</v>
      </c>
      <c r="V108" s="7" t="s">
        <v>13</v>
      </c>
      <c r="W108" s="5">
        <v>218.98</v>
      </c>
      <c r="X108" s="5">
        <v>3.9820000000000002</v>
      </c>
      <c r="Y108" s="5">
        <v>1.008</v>
      </c>
      <c r="Z108" s="5">
        <v>24.93</v>
      </c>
      <c r="AA108" s="5">
        <v>49.96</v>
      </c>
    </row>
    <row r="109" spans="1:27" x14ac:dyDescent="0.2">
      <c r="A109" s="7" t="s">
        <v>59</v>
      </c>
      <c r="B109" s="5">
        <v>218.75</v>
      </c>
      <c r="C109" s="5">
        <v>3.9849999999999999</v>
      </c>
      <c r="D109" s="5">
        <v>0.96199999999999997</v>
      </c>
      <c r="E109" s="5">
        <v>24.97</v>
      </c>
      <c r="F109" s="5">
        <v>50.08</v>
      </c>
      <c r="G109" s="6"/>
      <c r="H109" s="7" t="s">
        <v>59</v>
      </c>
      <c r="I109" s="5">
        <v>218.94</v>
      </c>
      <c r="J109" s="5">
        <v>3.976</v>
      </c>
      <c r="K109" s="5">
        <v>1.02</v>
      </c>
      <c r="L109" s="5">
        <v>25.01</v>
      </c>
      <c r="M109" s="5">
        <v>49.98</v>
      </c>
      <c r="N109" s="6"/>
      <c r="O109" s="7" t="s">
        <v>59</v>
      </c>
      <c r="P109" s="5">
        <v>218.51</v>
      </c>
      <c r="Q109" s="5">
        <v>3.9569999999999999</v>
      </c>
      <c r="R109" s="5">
        <v>1.0669999999999999</v>
      </c>
      <c r="S109" s="5">
        <v>25.03</v>
      </c>
      <c r="T109" s="5">
        <v>49.89</v>
      </c>
      <c r="V109" s="7" t="s">
        <v>14</v>
      </c>
      <c r="W109" s="5">
        <v>218.98</v>
      </c>
      <c r="X109" s="5">
        <v>3.9820000000000002</v>
      </c>
      <c r="Y109" s="5">
        <v>0.97899999999999998</v>
      </c>
      <c r="Z109" s="5">
        <v>24.93</v>
      </c>
      <c r="AA109" s="5">
        <v>49.95</v>
      </c>
    </row>
    <row r="110" spans="1:27" x14ac:dyDescent="0.2">
      <c r="A110" s="10" t="s">
        <v>60</v>
      </c>
      <c r="B110" s="8">
        <f>AVERAGE(B105:B109)</f>
        <v>218.63600000000002</v>
      </c>
      <c r="C110" s="9">
        <f t="shared" ref="C110" si="51">AVERAGE(C105:C109)</f>
        <v>3.9810000000000003</v>
      </c>
      <c r="D110" s="9">
        <f>AVERAGE(D104:D109)</f>
        <v>0.99033333333333318</v>
      </c>
      <c r="E110" s="9">
        <f t="shared" ref="E110:F110" si="52">AVERAGE(E105:E109)</f>
        <v>25.021999999999998</v>
      </c>
      <c r="F110" s="8">
        <f t="shared" si="52"/>
        <v>50.11</v>
      </c>
      <c r="G110" s="6"/>
      <c r="H110" s="10" t="s">
        <v>60</v>
      </c>
      <c r="I110" s="8">
        <f>AVERAGE(I105:I109)</f>
        <v>218.84200000000001</v>
      </c>
      <c r="J110" s="9">
        <f t="shared" ref="J110:M110" si="53">AVERAGE(J105:J109)</f>
        <v>3.9731999999999998</v>
      </c>
      <c r="K110" s="9">
        <f t="shared" si="53"/>
        <v>1.0731999999999999</v>
      </c>
      <c r="L110" s="9">
        <f t="shared" si="53"/>
        <v>25.042000000000002</v>
      </c>
      <c r="M110" s="8">
        <f t="shared" si="53"/>
        <v>49.911999999999992</v>
      </c>
      <c r="N110" s="6"/>
      <c r="O110" s="10" t="s">
        <v>60</v>
      </c>
      <c r="P110" s="8">
        <f>AVERAGE(P105:P109)</f>
        <v>218.45999999999998</v>
      </c>
      <c r="Q110" s="9">
        <f>AVERAGE(Q105:Q109)</f>
        <v>3.9601999999999995</v>
      </c>
      <c r="R110" s="9">
        <f>AVERAGE(R105:R109)</f>
        <v>1.0844</v>
      </c>
      <c r="S110" s="9">
        <f t="shared" ref="S110:T110" si="54">AVERAGE(S105:S109)</f>
        <v>25.07</v>
      </c>
      <c r="T110" s="8">
        <f t="shared" si="54"/>
        <v>49.886000000000003</v>
      </c>
      <c r="V110" s="10" t="s">
        <v>15</v>
      </c>
      <c r="W110" s="8">
        <f>AVERAGE(W105:W109)</f>
        <v>218.96999999999997</v>
      </c>
      <c r="X110" s="9">
        <f>AVERAGE(X105:X109)</f>
        <v>3.9787999999999997</v>
      </c>
      <c r="Y110" s="9">
        <f>AVERAGE(Y105:Y109)</f>
        <v>0.98659999999999992</v>
      </c>
      <c r="Z110" s="9">
        <f t="shared" ref="Z110:AA110" si="55">AVERAGE(Z105:Z109)</f>
        <v>24.936</v>
      </c>
      <c r="AA110" s="8">
        <f t="shared" si="55"/>
        <v>49.970000000000006</v>
      </c>
    </row>
    <row r="111" spans="1:27" x14ac:dyDescent="0.2">
      <c r="A111" s="10" t="s">
        <v>61</v>
      </c>
      <c r="B111" s="12">
        <f>B104-B110</f>
        <v>0.3639999999999759</v>
      </c>
      <c r="C111" s="13">
        <f t="shared" ref="C111" si="56">C104-C110</f>
        <v>1.8999999999999684E-2</v>
      </c>
      <c r="D111" s="12">
        <f>D104-D110</f>
        <v>9.6666666666668233E-3</v>
      </c>
      <c r="E111" s="12">
        <f t="shared" ref="E111:F111" si="57">E104-E110</f>
        <v>-2.1999999999998465E-2</v>
      </c>
      <c r="F111" s="12">
        <f t="shared" si="57"/>
        <v>-0.10999999999999943</v>
      </c>
      <c r="G111" s="6"/>
      <c r="H111" s="10" t="s">
        <v>61</v>
      </c>
      <c r="I111" s="12">
        <f>I104-I110</f>
        <v>0.15799999999998704</v>
      </c>
      <c r="J111" s="13">
        <f t="shared" ref="J111:M111" si="58">J104-J110</f>
        <v>2.6800000000000157E-2</v>
      </c>
      <c r="K111" s="13">
        <f t="shared" si="58"/>
        <v>-7.3199999999999932E-2</v>
      </c>
      <c r="L111" s="13">
        <f t="shared" si="58"/>
        <v>-4.2000000000001592E-2</v>
      </c>
      <c r="M111" s="12">
        <f t="shared" si="58"/>
        <v>8.8000000000008072E-2</v>
      </c>
      <c r="N111" s="6"/>
      <c r="O111" s="10" t="s">
        <v>61</v>
      </c>
      <c r="P111" s="12">
        <f>P104-P110</f>
        <v>0.54000000000002046</v>
      </c>
      <c r="Q111" s="13">
        <f t="shared" ref="Q111:T111" si="59">Q104-Q110</f>
        <v>3.9800000000000502E-2</v>
      </c>
      <c r="R111" s="13">
        <f t="shared" si="59"/>
        <v>-8.4400000000000031E-2</v>
      </c>
      <c r="S111" s="13">
        <f t="shared" si="59"/>
        <v>-7.0000000000000284E-2</v>
      </c>
      <c r="T111" s="12">
        <f t="shared" si="59"/>
        <v>0.11399999999999721</v>
      </c>
      <c r="V111" s="10" t="s">
        <v>16</v>
      </c>
      <c r="W111" s="12">
        <f>W104-W110</f>
        <v>3.0000000000029559E-2</v>
      </c>
      <c r="X111" s="13">
        <f t="shared" ref="X111:AA111" si="60">X104-X110</f>
        <v>2.120000000000033E-2</v>
      </c>
      <c r="Y111" s="13">
        <f t="shared" si="60"/>
        <v>1.3400000000000079E-2</v>
      </c>
      <c r="Z111" s="13">
        <f t="shared" si="60"/>
        <v>6.4000000000000057E-2</v>
      </c>
      <c r="AA111" s="12">
        <f t="shared" si="60"/>
        <v>2.9999999999994031E-2</v>
      </c>
    </row>
    <row r="112" spans="1:27" x14ac:dyDescent="0.2">
      <c r="A112" s="10" t="s">
        <v>62</v>
      </c>
      <c r="B112" s="16">
        <f>B111/B104*100</f>
        <v>0.16621004566208944</v>
      </c>
      <c r="C112" s="16">
        <f t="shared" ref="C112" si="61">C111/C104*100</f>
        <v>0.4749999999999921</v>
      </c>
      <c r="D112" s="16">
        <f>D111/D104*100</f>
        <v>0.96666666666668233</v>
      </c>
      <c r="E112" s="16">
        <f t="shared" ref="E112:F112" si="62">E111/E104*100</f>
        <v>-8.7999999999993861E-2</v>
      </c>
      <c r="F112" s="16">
        <f t="shared" si="62"/>
        <v>-0.21999999999999884</v>
      </c>
      <c r="G112" s="6"/>
      <c r="H112" s="10" t="s">
        <v>62</v>
      </c>
      <c r="I112" s="16">
        <f>I111/I104*100</f>
        <v>7.214611872145528E-2</v>
      </c>
      <c r="J112" s="16">
        <f t="shared" ref="J112:M112" si="63">J111/J104*100</f>
        <v>0.67000000000000393</v>
      </c>
      <c r="K112" s="16">
        <f t="shared" si="63"/>
        <v>-7.3199999999999932</v>
      </c>
      <c r="L112" s="16">
        <f t="shared" si="63"/>
        <v>-0.16800000000000637</v>
      </c>
      <c r="M112" s="16">
        <f t="shared" si="63"/>
        <v>0.17600000000001614</v>
      </c>
      <c r="N112" s="6"/>
      <c r="O112" s="10" t="s">
        <v>62</v>
      </c>
      <c r="P112" s="16">
        <f>P111/P104*100</f>
        <v>0.24657534246576279</v>
      </c>
      <c r="Q112" s="16">
        <f t="shared" ref="Q112:T112" si="64">Q111/Q104*100</f>
        <v>0.99500000000001254</v>
      </c>
      <c r="R112" s="16">
        <f t="shared" si="64"/>
        <v>-8.4400000000000031</v>
      </c>
      <c r="S112" s="16">
        <f t="shared" si="64"/>
        <v>-0.28000000000000114</v>
      </c>
      <c r="T112" s="16">
        <f t="shared" si="64"/>
        <v>0.22799999999999443</v>
      </c>
      <c r="V112" s="10" t="s">
        <v>18</v>
      </c>
      <c r="W112" s="16">
        <f>W111/W104*100</f>
        <v>1.3698630136999798E-2</v>
      </c>
      <c r="X112" s="16">
        <f t="shared" ref="X112:AA112" si="65">X111/X104*100</f>
        <v>0.53000000000000824</v>
      </c>
      <c r="Y112" s="16">
        <f t="shared" si="65"/>
        <v>1.3400000000000079</v>
      </c>
      <c r="Z112" s="16">
        <f t="shared" si="65"/>
        <v>0.25600000000000023</v>
      </c>
      <c r="AA112" s="16">
        <f t="shared" si="65"/>
        <v>5.9999999999988056E-2</v>
      </c>
    </row>
    <row r="116" spans="1:20" ht="18.75" x14ac:dyDescent="0.2">
      <c r="A116" s="18" t="s">
        <v>73</v>
      </c>
      <c r="B116" s="18"/>
      <c r="C116" s="17" t="s">
        <v>74</v>
      </c>
      <c r="D116" s="17" t="s">
        <v>47</v>
      </c>
      <c r="E116" s="18" t="s">
        <v>37</v>
      </c>
      <c r="F116" s="18"/>
      <c r="G116" s="6"/>
      <c r="H116" s="18" t="s">
        <v>75</v>
      </c>
      <c r="I116" s="18"/>
      <c r="J116" s="17" t="s">
        <v>74</v>
      </c>
      <c r="K116" s="17" t="s">
        <v>47</v>
      </c>
      <c r="L116" s="19" t="s">
        <v>4</v>
      </c>
      <c r="M116" s="19"/>
      <c r="N116" s="6"/>
      <c r="O116" s="18" t="s">
        <v>76</v>
      </c>
      <c r="P116" s="18"/>
      <c r="Q116" s="17" t="s">
        <v>74</v>
      </c>
      <c r="R116" s="17" t="s">
        <v>47</v>
      </c>
      <c r="S116" s="19" t="s">
        <v>39</v>
      </c>
      <c r="T116" s="19"/>
    </row>
    <row r="117" spans="1:20" x14ac:dyDescent="0.2">
      <c r="A117" s="5"/>
      <c r="B117" s="5" t="s">
        <v>6</v>
      </c>
      <c r="C117" s="5" t="s">
        <v>7</v>
      </c>
      <c r="D117" s="5" t="s">
        <v>43</v>
      </c>
      <c r="E117" s="5" t="s">
        <v>44</v>
      </c>
      <c r="F117" s="5" t="s">
        <v>8</v>
      </c>
      <c r="G117" s="6"/>
      <c r="H117" s="5"/>
      <c r="I117" s="5" t="s">
        <v>6</v>
      </c>
      <c r="J117" s="5" t="s">
        <v>7</v>
      </c>
      <c r="K117" s="5" t="s">
        <v>43</v>
      </c>
      <c r="L117" s="5" t="s">
        <v>45</v>
      </c>
      <c r="M117" s="5" t="s">
        <v>8</v>
      </c>
      <c r="N117" s="6"/>
      <c r="O117" s="5"/>
      <c r="P117" s="5" t="s">
        <v>6</v>
      </c>
      <c r="Q117" s="5" t="s">
        <v>7</v>
      </c>
      <c r="R117" s="5" t="s">
        <v>43</v>
      </c>
      <c r="S117" s="5" t="s">
        <v>45</v>
      </c>
      <c r="T117" s="5" t="s">
        <v>8</v>
      </c>
    </row>
    <row r="118" spans="1:20" x14ac:dyDescent="0.2">
      <c r="A118" s="7" t="s">
        <v>54</v>
      </c>
      <c r="B118" s="5">
        <v>169</v>
      </c>
      <c r="C118" s="5">
        <v>4</v>
      </c>
      <c r="D118" s="5">
        <v>1</v>
      </c>
      <c r="E118" s="5">
        <v>25</v>
      </c>
      <c r="F118" s="5">
        <v>50</v>
      </c>
      <c r="G118" s="6"/>
      <c r="H118" s="7" t="s">
        <v>54</v>
      </c>
      <c r="I118" s="8">
        <v>169</v>
      </c>
      <c r="J118" s="5">
        <v>4</v>
      </c>
      <c r="K118" s="5">
        <v>1</v>
      </c>
      <c r="L118" s="8">
        <v>25</v>
      </c>
      <c r="M118" s="8">
        <v>50</v>
      </c>
      <c r="N118" s="6"/>
      <c r="O118" s="7" t="s">
        <v>54</v>
      </c>
      <c r="P118" s="8">
        <v>169</v>
      </c>
      <c r="Q118" s="9">
        <v>4</v>
      </c>
      <c r="R118" s="9">
        <v>1</v>
      </c>
      <c r="S118" s="8">
        <v>25</v>
      </c>
      <c r="T118" s="8">
        <v>50</v>
      </c>
    </row>
    <row r="119" spans="1:20" x14ac:dyDescent="0.2">
      <c r="A119" s="7" t="s">
        <v>55</v>
      </c>
      <c r="B119" s="5">
        <v>168.66</v>
      </c>
      <c r="C119" s="5">
        <v>4.008</v>
      </c>
      <c r="D119" s="6">
        <v>0.98899999999999999</v>
      </c>
      <c r="E119" s="5">
        <v>24.96</v>
      </c>
      <c r="F119" s="5">
        <v>50.06</v>
      </c>
      <c r="G119" s="6"/>
      <c r="H119" s="7" t="s">
        <v>55</v>
      </c>
      <c r="I119" s="8">
        <v>168.82</v>
      </c>
      <c r="J119" s="5">
        <v>3.9809999999999999</v>
      </c>
      <c r="K119" s="5">
        <v>1.0109999999999999</v>
      </c>
      <c r="L119" s="8">
        <v>24.86</v>
      </c>
      <c r="M119" s="8">
        <v>49.89</v>
      </c>
      <c r="N119" s="6"/>
      <c r="O119" s="7" t="s">
        <v>55</v>
      </c>
      <c r="P119" s="8">
        <v>168.87</v>
      </c>
      <c r="Q119" s="5">
        <v>4.032</v>
      </c>
      <c r="R119" s="5">
        <v>1.028</v>
      </c>
      <c r="S119" s="8">
        <v>25.09</v>
      </c>
      <c r="T119" s="8">
        <v>50.07</v>
      </c>
    </row>
    <row r="120" spans="1:20" x14ac:dyDescent="0.2">
      <c r="A120" s="7" t="s">
        <v>56</v>
      </c>
      <c r="B120" s="5">
        <v>168.78</v>
      </c>
      <c r="C120" s="5">
        <v>4.0049999999999999</v>
      </c>
      <c r="D120" s="5">
        <v>1.0029999999999999</v>
      </c>
      <c r="E120" s="5">
        <v>25.03</v>
      </c>
      <c r="F120" s="5">
        <v>50.08</v>
      </c>
      <c r="G120" s="6"/>
      <c r="H120" s="7" t="s">
        <v>56</v>
      </c>
      <c r="I120" s="8">
        <v>168.71</v>
      </c>
      <c r="J120" s="5">
        <v>3.996</v>
      </c>
      <c r="K120" s="6">
        <v>1.008</v>
      </c>
      <c r="L120" s="8">
        <v>24.83</v>
      </c>
      <c r="M120" s="8">
        <v>49.76</v>
      </c>
      <c r="N120" s="6"/>
      <c r="O120" s="7" t="s">
        <v>56</v>
      </c>
      <c r="P120" s="8">
        <v>168.81</v>
      </c>
      <c r="Q120" s="5">
        <v>4.0149999999999997</v>
      </c>
      <c r="R120" s="5">
        <v>1.0469999999999999</v>
      </c>
      <c r="S120" s="8">
        <v>25.19</v>
      </c>
      <c r="T120" s="8">
        <v>50.16</v>
      </c>
    </row>
    <row r="121" spans="1:20" x14ac:dyDescent="0.2">
      <c r="A121" s="7" t="s">
        <v>57</v>
      </c>
      <c r="B121" s="5">
        <v>168.81</v>
      </c>
      <c r="C121" s="5">
        <v>3.9980000000000002</v>
      </c>
      <c r="D121" s="5">
        <v>1.006</v>
      </c>
      <c r="E121" s="5">
        <v>25.04</v>
      </c>
      <c r="F121" s="5">
        <v>50.12</v>
      </c>
      <c r="G121" s="6"/>
      <c r="H121" s="7" t="s">
        <v>57</v>
      </c>
      <c r="I121" s="8">
        <v>168.72</v>
      </c>
      <c r="J121" s="5">
        <v>3.9830000000000001</v>
      </c>
      <c r="K121" s="5">
        <v>1.0389999999999999</v>
      </c>
      <c r="L121" s="8">
        <v>24.84</v>
      </c>
      <c r="M121" s="8">
        <v>49.81</v>
      </c>
      <c r="N121" s="6"/>
      <c r="O121" s="7" t="s">
        <v>57</v>
      </c>
      <c r="P121" s="8">
        <v>168.88</v>
      </c>
      <c r="Q121" s="5">
        <v>4.016</v>
      </c>
      <c r="R121" s="5">
        <v>1.0640000000000001</v>
      </c>
      <c r="S121" s="8">
        <v>25.15</v>
      </c>
      <c r="T121" s="8">
        <v>50.21</v>
      </c>
    </row>
    <row r="122" spans="1:20" x14ac:dyDescent="0.2">
      <c r="A122" s="7" t="s">
        <v>58</v>
      </c>
      <c r="B122" s="5">
        <v>168.88</v>
      </c>
      <c r="C122" s="5">
        <v>4.0640000000000001</v>
      </c>
      <c r="D122" s="5">
        <v>0.97099999999999997</v>
      </c>
      <c r="E122" s="5">
        <v>25.07</v>
      </c>
      <c r="F122" s="5">
        <v>50.12</v>
      </c>
      <c r="G122" s="6"/>
      <c r="H122" s="7" t="s">
        <v>58</v>
      </c>
      <c r="I122" s="8">
        <v>168.79</v>
      </c>
      <c r="J122" s="5">
        <v>3.9950000000000001</v>
      </c>
      <c r="K122" s="5">
        <v>1.0329999999999999</v>
      </c>
      <c r="L122" s="8">
        <v>24.81</v>
      </c>
      <c r="M122" s="8">
        <v>49.77</v>
      </c>
      <c r="N122" s="6"/>
      <c r="O122" s="7" t="s">
        <v>58</v>
      </c>
      <c r="P122" s="8">
        <v>168.95</v>
      </c>
      <c r="Q122" s="5">
        <v>4.0209999999999999</v>
      </c>
      <c r="R122" s="5">
        <v>1.038</v>
      </c>
      <c r="S122" s="8">
        <v>25.08</v>
      </c>
      <c r="T122" s="8">
        <v>50.19</v>
      </c>
    </row>
    <row r="123" spans="1:20" x14ac:dyDescent="0.2">
      <c r="A123" s="7" t="s">
        <v>59</v>
      </c>
      <c r="B123" s="5">
        <v>168.81</v>
      </c>
      <c r="C123" s="5">
        <v>3.9910000000000001</v>
      </c>
      <c r="D123" s="5">
        <v>0.98799999999999999</v>
      </c>
      <c r="E123" s="5">
        <v>25.05</v>
      </c>
      <c r="F123" s="5">
        <v>50.11</v>
      </c>
      <c r="G123" s="6"/>
      <c r="H123" s="7" t="s">
        <v>59</v>
      </c>
      <c r="I123" s="8">
        <v>168.8</v>
      </c>
      <c r="J123" s="5">
        <v>4.0069999999999997</v>
      </c>
      <c r="K123" s="5">
        <v>1.0429999999999999</v>
      </c>
      <c r="L123" s="8">
        <v>24.93</v>
      </c>
      <c r="M123" s="8">
        <v>49.82</v>
      </c>
      <c r="N123" s="6"/>
      <c r="O123" s="7" t="s">
        <v>59</v>
      </c>
      <c r="P123" s="8">
        <v>168.91</v>
      </c>
      <c r="Q123" s="5">
        <v>4.0190000000000001</v>
      </c>
      <c r="R123" s="5">
        <v>1.0489999999999999</v>
      </c>
      <c r="S123" s="8">
        <v>25.04</v>
      </c>
      <c r="T123" s="8">
        <v>50.11</v>
      </c>
    </row>
    <row r="124" spans="1:20" x14ac:dyDescent="0.2">
      <c r="A124" s="10" t="s">
        <v>60</v>
      </c>
      <c r="B124" s="8">
        <f>AVERAGE(B119:B123)</f>
        <v>168.78800000000001</v>
      </c>
      <c r="C124" s="9">
        <f t="shared" ref="C124" si="66">AVERAGE(C119:C123)</f>
        <v>4.0131999999999994</v>
      </c>
      <c r="D124" s="9">
        <f>AVERAGE(D118:D123)</f>
        <v>0.99283333333333346</v>
      </c>
      <c r="E124" s="9">
        <f t="shared" ref="E124:F124" si="67">AVERAGE(E119:E123)</f>
        <v>25.029999999999998</v>
      </c>
      <c r="F124" s="8">
        <f t="shared" si="67"/>
        <v>50.097999999999999</v>
      </c>
      <c r="G124" s="6"/>
      <c r="H124" s="10" t="s">
        <v>60</v>
      </c>
      <c r="I124" s="8">
        <f>AVERAGE(I119:I123)</f>
        <v>168.76799999999997</v>
      </c>
      <c r="J124" s="9">
        <f t="shared" ref="J124:M124" si="68">AVERAGE(J119:J123)</f>
        <v>3.9924000000000008</v>
      </c>
      <c r="K124" s="9">
        <f>AVERAGE(K119:K123)</f>
        <v>1.0267999999999999</v>
      </c>
      <c r="L124" s="9">
        <f t="shared" si="68"/>
        <v>24.854000000000003</v>
      </c>
      <c r="M124" s="8">
        <f t="shared" si="68"/>
        <v>49.81</v>
      </c>
      <c r="N124" s="6"/>
      <c r="O124" s="10" t="s">
        <v>60</v>
      </c>
      <c r="P124" s="8">
        <f>AVERAGE(P119:P123)</f>
        <v>168.88399999999999</v>
      </c>
      <c r="Q124" s="8">
        <f>AVERAGE(Q119:Q123)</f>
        <v>4.0206</v>
      </c>
      <c r="R124" s="9">
        <f>AVERAGE(R119:R123)</f>
        <v>1.0452000000000001</v>
      </c>
      <c r="S124" s="8">
        <f t="shared" ref="S124:T124" si="69">AVERAGE(S119:S123)</f>
        <v>25.110000000000003</v>
      </c>
      <c r="T124" s="8">
        <f t="shared" si="69"/>
        <v>50.148000000000003</v>
      </c>
    </row>
    <row r="125" spans="1:20" x14ac:dyDescent="0.2">
      <c r="A125" s="10" t="s">
        <v>61</v>
      </c>
      <c r="B125" s="12">
        <f>B118-B124</f>
        <v>0.21199999999998909</v>
      </c>
      <c r="C125" s="13">
        <f t="shared" ref="C125" si="70">C118-C124</f>
        <v>-1.3199999999999434E-2</v>
      </c>
      <c r="D125" s="12">
        <f>D118-D124</f>
        <v>7.1666666666665435E-3</v>
      </c>
      <c r="E125" s="12">
        <f t="shared" ref="E125:F125" si="71">E118-E124</f>
        <v>-2.9999999999997584E-2</v>
      </c>
      <c r="F125" s="12">
        <f t="shared" si="71"/>
        <v>-9.7999999999998977E-2</v>
      </c>
      <c r="G125" s="6"/>
      <c r="H125" s="10" t="s">
        <v>61</v>
      </c>
      <c r="I125" s="12">
        <f>I118-I124</f>
        <v>0.23200000000002774</v>
      </c>
      <c r="J125" s="13">
        <f t="shared" ref="J125:M125" si="72">J118-J124</f>
        <v>7.599999999999163E-3</v>
      </c>
      <c r="K125" s="13">
        <f t="shared" si="72"/>
        <v>-2.6799999999999935E-2</v>
      </c>
      <c r="L125" s="13">
        <f t="shared" si="72"/>
        <v>0.14599999999999724</v>
      </c>
      <c r="M125" s="12">
        <f t="shared" si="72"/>
        <v>0.18999999999999773</v>
      </c>
      <c r="N125" s="6"/>
      <c r="O125" s="10" t="s">
        <v>61</v>
      </c>
      <c r="P125" s="8">
        <f>P118-P124</f>
        <v>0.11600000000001387</v>
      </c>
      <c r="Q125" s="8">
        <f t="shared" ref="Q125:T125" si="73">Q118-Q124</f>
        <v>-2.0599999999999952E-2</v>
      </c>
      <c r="R125" s="13">
        <f t="shared" si="73"/>
        <v>-4.5200000000000129E-2</v>
      </c>
      <c r="S125" s="8">
        <f t="shared" si="73"/>
        <v>-0.11000000000000298</v>
      </c>
      <c r="T125" s="8">
        <f t="shared" si="73"/>
        <v>-0.14800000000000324</v>
      </c>
    </row>
    <row r="126" spans="1:20" x14ac:dyDescent="0.2">
      <c r="A126" s="10" t="s">
        <v>62</v>
      </c>
      <c r="B126" s="16">
        <f>B125/B118*100</f>
        <v>0.12544378698224207</v>
      </c>
      <c r="C126" s="16">
        <f t="shared" ref="C126" si="74">C125/C118*100</f>
        <v>-0.32999999999998586</v>
      </c>
      <c r="D126" s="16">
        <f>D125/D118*100</f>
        <v>0.71666666666665435</v>
      </c>
      <c r="E126" s="16">
        <f t="shared" ref="E126:F126" si="75">E125/E118*100</f>
        <v>-0.11999999999999034</v>
      </c>
      <c r="F126" s="16">
        <f t="shared" si="75"/>
        <v>-0.19599999999999795</v>
      </c>
      <c r="G126" s="6"/>
      <c r="H126" s="10" t="s">
        <v>62</v>
      </c>
      <c r="I126" s="16">
        <f>I125/I118*100</f>
        <v>0.13727810650889213</v>
      </c>
      <c r="J126" s="16">
        <f t="shared" ref="J126:M126" si="76">J125/J118*100</f>
        <v>0.18999999999997907</v>
      </c>
      <c r="K126" s="16">
        <f t="shared" si="76"/>
        <v>-2.6799999999999935</v>
      </c>
      <c r="L126" s="16">
        <f t="shared" si="76"/>
        <v>0.58399999999998897</v>
      </c>
      <c r="M126" s="16">
        <f t="shared" si="76"/>
        <v>0.37999999999999545</v>
      </c>
      <c r="N126" s="6"/>
      <c r="O126" s="10" t="s">
        <v>62</v>
      </c>
      <c r="P126" s="16">
        <f>P125/P118*100</f>
        <v>6.8639053254446067E-2</v>
      </c>
      <c r="Q126" s="16">
        <f t="shared" ref="Q126:T126" si="77">Q125/Q118*100</f>
        <v>-0.51499999999999879</v>
      </c>
      <c r="R126" s="16">
        <f t="shared" si="77"/>
        <v>-4.5200000000000129</v>
      </c>
      <c r="S126" s="16">
        <f t="shared" si="77"/>
        <v>-0.44000000000001194</v>
      </c>
      <c r="T126" s="16">
        <f t="shared" si="77"/>
        <v>-0.29600000000000648</v>
      </c>
    </row>
  </sheetData>
  <mergeCells count="51">
    <mergeCell ref="V102:W102"/>
    <mergeCell ref="Z102:AA102"/>
    <mergeCell ref="A116:B116"/>
    <mergeCell ref="E116:F116"/>
    <mergeCell ref="H116:I116"/>
    <mergeCell ref="L116:M116"/>
    <mergeCell ref="O116:P116"/>
    <mergeCell ref="S116:T116"/>
    <mergeCell ref="A102:B102"/>
    <mergeCell ref="E102:F102"/>
    <mergeCell ref="H102:I102"/>
    <mergeCell ref="L102:M102"/>
    <mergeCell ref="O102:P102"/>
    <mergeCell ref="S102:T102"/>
    <mergeCell ref="A88:B88"/>
    <mergeCell ref="E88:F88"/>
    <mergeCell ref="H88:I88"/>
    <mergeCell ref="L88:M88"/>
    <mergeCell ref="O88:P88"/>
    <mergeCell ref="S88:T88"/>
    <mergeCell ref="A74:B74"/>
    <mergeCell ref="E74:F74"/>
    <mergeCell ref="H74:I74"/>
    <mergeCell ref="L74:M74"/>
    <mergeCell ref="O74:P74"/>
    <mergeCell ref="S74:T74"/>
    <mergeCell ref="S46:T46"/>
    <mergeCell ref="V46:W46"/>
    <mergeCell ref="Z46:AA46"/>
    <mergeCell ref="A60:B60"/>
    <mergeCell ref="E60:F60"/>
    <mergeCell ref="H60:I60"/>
    <mergeCell ref="L60:M60"/>
    <mergeCell ref="O60:P60"/>
    <mergeCell ref="S60:T60"/>
    <mergeCell ref="P16:Q16"/>
    <mergeCell ref="A31:B31"/>
    <mergeCell ref="F31:G31"/>
    <mergeCell ref="K31:L31"/>
    <mergeCell ref="P31:Q31"/>
    <mergeCell ref="A46:B46"/>
    <mergeCell ref="E46:F46"/>
    <mergeCell ref="H46:I46"/>
    <mergeCell ref="L46:M46"/>
    <mergeCell ref="O46:P46"/>
    <mergeCell ref="A1:B1"/>
    <mergeCell ref="F1:G1"/>
    <mergeCell ref="K1:L1"/>
    <mergeCell ref="A16:B16"/>
    <mergeCell ref="F16:G16"/>
    <mergeCell ref="K16:L1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Specimen tolerance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2025-09-05T14:25:07Z</dcterms:created>
  <dcterms:modified xsi:type="dcterms:W3CDTF">2025-09-05T14:25:21Z</dcterms:modified>
</cp:coreProperties>
</file>