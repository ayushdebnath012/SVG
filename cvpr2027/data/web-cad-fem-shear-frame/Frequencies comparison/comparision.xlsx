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hared drives\Jr.Arman_Eshwar\Data_in_brief\MATERIALS\Frequencies comparison\"/>
    </mc:Choice>
  </mc:AlternateContent>
  <xr:revisionPtr revIDLastSave="0" documentId="13_ncr:1_{CC4BB5DD-BE41-4E0F-A864-5BA96C235D69}" xr6:coauthVersionLast="47" xr6:coauthVersionMax="47" xr10:uidLastSave="{00000000-0000-0000-0000-000000000000}"/>
  <bookViews>
    <workbookView xWindow="20310" yWindow="1320" windowWidth="14940" windowHeight="9270" xr2:uid="{44BF03A6-1F0D-4F97-9DFC-2E42E3F1B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8" i="1" l="1"/>
  <c r="M17" i="1"/>
  <c r="M15" i="1"/>
  <c r="M14" i="1"/>
  <c r="L14" i="1"/>
  <c r="L15" i="1"/>
  <c r="L16" i="1"/>
  <c r="L17" i="1"/>
  <c r="L18" i="1"/>
  <c r="L19" i="1"/>
  <c r="K15" i="1"/>
  <c r="K17" i="1"/>
  <c r="K18" i="1"/>
  <c r="K14" i="1"/>
  <c r="J14" i="1"/>
  <c r="J15" i="1"/>
  <c r="J17" i="1"/>
  <c r="J18" i="1"/>
  <c r="I15" i="1"/>
  <c r="I16" i="1"/>
  <c r="I17" i="1"/>
  <c r="I18" i="1"/>
  <c r="I19" i="1"/>
  <c r="I14" i="1"/>
  <c r="H15" i="1"/>
  <c r="H17" i="1"/>
  <c r="H18" i="1"/>
  <c r="H14" i="1"/>
  <c r="G15" i="1"/>
  <c r="G17" i="1"/>
  <c r="G18" i="1"/>
  <c r="G14" i="1"/>
  <c r="F15" i="1"/>
  <c r="F16" i="1"/>
  <c r="F17" i="1"/>
  <c r="F18" i="1"/>
  <c r="F19" i="1"/>
  <c r="F14" i="1"/>
  <c r="E15" i="1"/>
  <c r="E17" i="1"/>
  <c r="E18" i="1"/>
  <c r="E14" i="1"/>
  <c r="D15" i="1"/>
  <c r="D17" i="1"/>
  <c r="D18" i="1"/>
  <c r="D14" i="1"/>
</calcChain>
</file>

<file path=xl/sharedStrings.xml><?xml version="1.0" encoding="utf-8"?>
<sst xmlns="http://schemas.openxmlformats.org/spreadsheetml/2006/main" count="86" uniqueCount="27">
  <si>
    <t>MATLAB</t>
  </si>
  <si>
    <t>undama</t>
  </si>
  <si>
    <t>Abaqus</t>
  </si>
  <si>
    <t>experiment</t>
  </si>
  <si>
    <t>-</t>
  </si>
  <si>
    <t>1st</t>
  </si>
  <si>
    <t>2nd</t>
  </si>
  <si>
    <t>3rd</t>
  </si>
  <si>
    <t>4th</t>
  </si>
  <si>
    <t>5th</t>
  </si>
  <si>
    <t>6th</t>
  </si>
  <si>
    <t>Undamaged section</t>
  </si>
  <si>
    <t>Damaged section</t>
  </si>
  <si>
    <t>Type I</t>
  </si>
  <si>
    <t>Type II</t>
  </si>
  <si>
    <r>
      <rPr>
        <sz val="16"/>
        <color rgb="FFFF0000"/>
        <rFont val="Calibri"/>
        <family val="2"/>
        <scheme val="minor"/>
      </rPr>
      <t>ε</t>
    </r>
    <r>
      <rPr>
        <sz val="11"/>
        <color rgb="FFFF0000"/>
        <rFont val="Calibri"/>
        <family val="2"/>
        <scheme val="minor"/>
      </rPr>
      <t>ae(%)</t>
    </r>
  </si>
  <si>
    <r>
      <rPr>
        <sz val="16"/>
        <color rgb="FFFF0000"/>
        <rFont val="Calibri"/>
        <family val="2"/>
        <scheme val="minor"/>
      </rPr>
      <t>ε</t>
    </r>
    <r>
      <rPr>
        <sz val="11"/>
        <color rgb="FFFF0000"/>
        <rFont val="Calibri"/>
        <family val="2"/>
        <scheme val="minor"/>
      </rPr>
      <t>me(%)</t>
    </r>
  </si>
  <si>
    <r>
      <rPr>
        <sz val="16"/>
        <color rgb="FFFF0000"/>
        <rFont val="Calibri"/>
        <family val="2"/>
        <scheme val="minor"/>
      </rPr>
      <t>ε</t>
    </r>
    <r>
      <rPr>
        <sz val="11"/>
        <color rgb="FFFF0000"/>
        <rFont val="Calibri"/>
        <family val="2"/>
        <scheme val="minor"/>
      </rPr>
      <t>am(%)</t>
    </r>
  </si>
  <si>
    <t>Frequency</t>
  </si>
  <si>
    <t>Percentage error calculation in first six frequencies for different model</t>
  </si>
  <si>
    <t>Type III</t>
  </si>
  <si>
    <r>
      <rPr>
        <sz val="16"/>
        <color rgb="FFFF0000"/>
        <rFont val="Calibri"/>
        <family val="2"/>
        <scheme val="minor"/>
      </rPr>
      <t>ε</t>
    </r>
    <r>
      <rPr>
        <sz val="11"/>
        <color rgb="FFFF0000"/>
        <rFont val="Calibri"/>
        <family val="2"/>
        <scheme val="minor"/>
      </rPr>
      <t>ae</t>
    </r>
  </si>
  <si>
    <t>error in between abaqus and experimental</t>
  </si>
  <si>
    <r>
      <rPr>
        <sz val="16"/>
        <color rgb="FFFF0000"/>
        <rFont val="Calibri"/>
        <family val="2"/>
        <scheme val="minor"/>
      </rPr>
      <t>ε</t>
    </r>
    <r>
      <rPr>
        <sz val="11"/>
        <color rgb="FFFF0000"/>
        <rFont val="Calibri"/>
        <family val="2"/>
        <scheme val="minor"/>
      </rPr>
      <t>me</t>
    </r>
  </si>
  <si>
    <t>error in between Matlab and experimental</t>
  </si>
  <si>
    <r>
      <rPr>
        <sz val="16"/>
        <color rgb="FFFF0000"/>
        <rFont val="Calibri"/>
        <family val="2"/>
        <scheme val="minor"/>
      </rPr>
      <t>ε</t>
    </r>
    <r>
      <rPr>
        <sz val="11"/>
        <color rgb="FFFF0000"/>
        <rFont val="Calibri"/>
        <family val="2"/>
        <scheme val="minor"/>
      </rPr>
      <t>am</t>
    </r>
  </si>
  <si>
    <t>error in between  abaqus and Matlab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</si>
</sst>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Times New Roman"/>
      <family val="1"/>
    </font>
    <font>
      <sz val="20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wrapText="1" readingOrder="1"/>
    </xf>
    <xf numFmtId="0" fontId="0" fillId="0" borderId="1" xfId="0" applyBorder="1"/>
    <xf numFmtId="0" fontId="1" fillId="0" borderId="0" xfId="0" applyFont="1" applyFill="1" applyBorder="1" applyAlignment="1">
      <alignment vertical="center" readingOrder="1"/>
    </xf>
    <xf numFmtId="0" fontId="0" fillId="6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0" xfId="0" applyFont="1" applyBorder="1"/>
    <xf numFmtId="0" fontId="0" fillId="0" borderId="0" xfId="0" applyFont="1" applyBorder="1"/>
    <xf numFmtId="164" fontId="0" fillId="0" borderId="1" xfId="0" applyNumberFormat="1" applyBorder="1"/>
    <xf numFmtId="164" fontId="0" fillId="0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AE3C-DCB8-482C-BFCE-7A5F5D76BD30}">
  <dimension ref="A1:X28"/>
  <sheetViews>
    <sheetView tabSelected="1" workbookViewId="0">
      <selection activeCell="K22" sqref="K22"/>
    </sheetView>
  </sheetViews>
  <sheetFormatPr defaultRowHeight="15" x14ac:dyDescent="0.25"/>
  <cols>
    <col min="4" max="4" width="9.28515625" bestFit="1" customWidth="1"/>
    <col min="5" max="5" width="10.42578125" bestFit="1" customWidth="1"/>
    <col min="9" max="9" width="10.42578125" bestFit="1" customWidth="1"/>
    <col min="15" max="15" width="8.85546875" customWidth="1"/>
    <col min="16" max="16" width="13.28515625" customWidth="1"/>
    <col min="17" max="17" width="36" bestFit="1" customWidth="1"/>
  </cols>
  <sheetData>
    <row r="1" spans="1:17" x14ac:dyDescent="0.25">
      <c r="A1" s="26" t="s">
        <v>0</v>
      </c>
      <c r="B1" s="26"/>
      <c r="C1" s="26"/>
      <c r="D1" s="26"/>
      <c r="F1" s="27" t="s">
        <v>2</v>
      </c>
      <c r="G1" s="27"/>
      <c r="H1" s="27"/>
      <c r="I1" s="27"/>
      <c r="K1" s="31" t="s">
        <v>3</v>
      </c>
      <c r="L1" s="31"/>
      <c r="M1" s="31"/>
      <c r="N1" s="31"/>
    </row>
    <row r="2" spans="1:17" x14ac:dyDescent="0.25">
      <c r="A2" s="3" t="s">
        <v>1</v>
      </c>
      <c r="B2" s="3" t="s">
        <v>13</v>
      </c>
      <c r="C2" s="3" t="s">
        <v>14</v>
      </c>
      <c r="D2" s="3" t="s">
        <v>20</v>
      </c>
      <c r="F2" s="3" t="s">
        <v>1</v>
      </c>
      <c r="G2" s="3" t="s">
        <v>13</v>
      </c>
      <c r="H2" s="3" t="s">
        <v>14</v>
      </c>
      <c r="I2" s="3" t="s">
        <v>20</v>
      </c>
      <c r="K2" s="3" t="s">
        <v>1</v>
      </c>
      <c r="L2" s="3" t="s">
        <v>13</v>
      </c>
      <c r="M2" s="3" t="s">
        <v>14</v>
      </c>
      <c r="N2" s="3" t="s">
        <v>20</v>
      </c>
    </row>
    <row r="3" spans="1:17" x14ac:dyDescent="0.25">
      <c r="A3" s="16">
        <v>6.2266000000000004</v>
      </c>
      <c r="B3" s="16">
        <v>6.5171000000000001</v>
      </c>
      <c r="C3" s="16">
        <v>5.9088000000000003</v>
      </c>
      <c r="D3" s="20" t="s">
        <v>4</v>
      </c>
      <c r="F3" s="16">
        <v>6.2534999999999998</v>
      </c>
      <c r="G3" s="16">
        <v>6.5613000000000001</v>
      </c>
      <c r="H3" s="16">
        <v>5.9352</v>
      </c>
      <c r="I3" s="17">
        <v>6.2053000000000003</v>
      </c>
      <c r="K3" s="16">
        <v>5.524</v>
      </c>
      <c r="L3" s="16">
        <v>5.585</v>
      </c>
      <c r="M3" s="16">
        <v>5.4930000000000003</v>
      </c>
      <c r="N3" s="3">
        <v>5.55</v>
      </c>
    </row>
    <row r="4" spans="1:17" x14ac:dyDescent="0.25">
      <c r="A4" s="16">
        <v>6.5340999999999996</v>
      </c>
      <c r="B4" s="16">
        <v>6.5339999999999998</v>
      </c>
      <c r="C4" s="16">
        <v>6.5464000000000002</v>
      </c>
      <c r="D4" s="20" t="s">
        <v>4</v>
      </c>
      <c r="F4" s="16">
        <v>6.577</v>
      </c>
      <c r="G4" s="16">
        <v>6.5644999999999998</v>
      </c>
      <c r="H4" s="16">
        <v>6.5926</v>
      </c>
      <c r="I4" s="17">
        <v>6.5664999999999996</v>
      </c>
      <c r="K4" s="16">
        <v>6.7750000000000004</v>
      </c>
      <c r="L4" s="16">
        <v>6.8659999999999997</v>
      </c>
      <c r="M4" s="16">
        <v>6.7439999999999998</v>
      </c>
      <c r="N4" s="3">
        <v>6.7750000000000004</v>
      </c>
    </row>
    <row r="5" spans="1:17" x14ac:dyDescent="0.25">
      <c r="A5" s="16">
        <v>7.9618000000000002</v>
      </c>
      <c r="B5" s="16">
        <v>8.1199999999999992</v>
      </c>
      <c r="C5" s="16">
        <v>7.8663999999999996</v>
      </c>
      <c r="D5" s="22" t="s">
        <v>4</v>
      </c>
      <c r="F5" s="16">
        <v>7.8928000000000003</v>
      </c>
      <c r="G5" s="16">
        <v>8.0565999999999995</v>
      </c>
      <c r="H5" s="16">
        <v>7.8011999999999997</v>
      </c>
      <c r="I5" s="17">
        <v>7.8673000000000002</v>
      </c>
      <c r="K5" s="18" t="s">
        <v>4</v>
      </c>
      <c r="L5" s="18" t="s">
        <v>4</v>
      </c>
      <c r="M5" s="18" t="s">
        <v>4</v>
      </c>
      <c r="N5" s="21" t="s">
        <v>4</v>
      </c>
    </row>
    <row r="6" spans="1:17" x14ac:dyDescent="0.25">
      <c r="A6" s="16">
        <v>21.295000000000002</v>
      </c>
      <c r="B6" s="16">
        <v>21.8002</v>
      </c>
      <c r="C6" s="16">
        <v>20.834599999999998</v>
      </c>
      <c r="D6" s="22" t="s">
        <v>4</v>
      </c>
      <c r="F6" s="16">
        <v>21.428000000000001</v>
      </c>
      <c r="G6" s="16">
        <v>21.913</v>
      </c>
      <c r="H6" s="16">
        <v>21.003</v>
      </c>
      <c r="I6" s="17">
        <v>21.32</v>
      </c>
      <c r="K6" s="16">
        <v>20.39</v>
      </c>
      <c r="L6" s="16">
        <v>20.36</v>
      </c>
      <c r="M6" s="16">
        <v>19.559999999999999</v>
      </c>
      <c r="N6" s="3">
        <v>20.57</v>
      </c>
    </row>
    <row r="7" spans="1:17" x14ac:dyDescent="0.25">
      <c r="A7" s="16">
        <v>22.116900000000001</v>
      </c>
      <c r="B7" s="16">
        <v>22.055800000000001</v>
      </c>
      <c r="C7" s="16">
        <v>22.161300000000001</v>
      </c>
      <c r="D7" s="22" t="s">
        <v>4</v>
      </c>
      <c r="F7" s="16">
        <v>22.286000000000001</v>
      </c>
      <c r="G7" s="16">
        <v>22.231999999999999</v>
      </c>
      <c r="H7" s="16">
        <v>22.346</v>
      </c>
      <c r="I7" s="17">
        <v>22.254000000000001</v>
      </c>
      <c r="K7" s="16">
        <v>23.07</v>
      </c>
      <c r="L7" s="16">
        <v>22.83</v>
      </c>
      <c r="M7" s="16">
        <v>22.89</v>
      </c>
      <c r="N7" s="3">
        <v>23.38</v>
      </c>
    </row>
    <row r="8" spans="1:17" x14ac:dyDescent="0.25">
      <c r="A8" s="16">
        <v>23.9587</v>
      </c>
      <c r="B8" s="16">
        <v>24.6313</v>
      </c>
      <c r="C8" s="16">
        <v>23.133400000000002</v>
      </c>
      <c r="D8" s="22" t="s">
        <v>4</v>
      </c>
      <c r="F8" s="16">
        <v>24.198</v>
      </c>
      <c r="G8" s="16">
        <v>24.837</v>
      </c>
      <c r="H8" s="16">
        <v>23.417000000000002</v>
      </c>
      <c r="I8" s="17">
        <v>24.146000000000001</v>
      </c>
      <c r="K8" s="18" t="s">
        <v>4</v>
      </c>
      <c r="L8" s="18" t="s">
        <v>4</v>
      </c>
      <c r="M8" s="18" t="s">
        <v>4</v>
      </c>
      <c r="N8" s="18" t="s">
        <v>4</v>
      </c>
    </row>
    <row r="10" spans="1:17" ht="21" x14ac:dyDescent="0.35">
      <c r="C10" s="28" t="s">
        <v>19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6" t="s">
        <v>21</v>
      </c>
      <c r="Q10" s="3" t="s">
        <v>22</v>
      </c>
    </row>
    <row r="11" spans="1:17" ht="21" x14ac:dyDescent="0.35">
      <c r="C11" s="25" t="s">
        <v>18</v>
      </c>
      <c r="D11" s="24" t="s">
        <v>11</v>
      </c>
      <c r="E11" s="24"/>
      <c r="F11" s="24"/>
      <c r="G11" s="29" t="s">
        <v>12</v>
      </c>
      <c r="H11" s="29"/>
      <c r="I11" s="29"/>
      <c r="J11" s="29"/>
      <c r="K11" s="29"/>
      <c r="L11" s="29"/>
      <c r="M11" s="29"/>
      <c r="N11" s="29"/>
      <c r="O11" s="29"/>
      <c r="P11" s="6" t="s">
        <v>23</v>
      </c>
      <c r="Q11" s="3" t="s">
        <v>24</v>
      </c>
    </row>
    <row r="12" spans="1:17" ht="21" x14ac:dyDescent="0.35">
      <c r="C12" s="25"/>
      <c r="D12" s="24"/>
      <c r="E12" s="24"/>
      <c r="F12" s="24"/>
      <c r="G12" s="23" t="s">
        <v>13</v>
      </c>
      <c r="H12" s="23"/>
      <c r="I12" s="23"/>
      <c r="J12" s="23" t="s">
        <v>14</v>
      </c>
      <c r="K12" s="23"/>
      <c r="L12" s="23"/>
      <c r="M12" s="23" t="s">
        <v>20</v>
      </c>
      <c r="N12" s="23"/>
      <c r="O12" s="23"/>
      <c r="P12" s="6" t="s">
        <v>25</v>
      </c>
      <c r="Q12" s="3" t="s">
        <v>26</v>
      </c>
    </row>
    <row r="13" spans="1:17" ht="21" x14ac:dyDescent="0.35">
      <c r="C13" s="25"/>
      <c r="D13" s="6" t="s">
        <v>15</v>
      </c>
      <c r="E13" s="6" t="s">
        <v>16</v>
      </c>
      <c r="F13" s="6" t="s">
        <v>17</v>
      </c>
      <c r="G13" s="6" t="s">
        <v>15</v>
      </c>
      <c r="H13" s="6" t="s">
        <v>16</v>
      </c>
      <c r="I13" s="6" t="s">
        <v>17</v>
      </c>
      <c r="J13" s="6" t="s">
        <v>15</v>
      </c>
      <c r="K13" s="6" t="s">
        <v>16</v>
      </c>
      <c r="L13" s="6" t="s">
        <v>17</v>
      </c>
      <c r="M13" s="6" t="s">
        <v>15</v>
      </c>
      <c r="N13" s="6" t="s">
        <v>16</v>
      </c>
      <c r="O13" s="6" t="s">
        <v>17</v>
      </c>
    </row>
    <row r="14" spans="1:17" ht="21" customHeight="1" x14ac:dyDescent="0.25">
      <c r="C14" s="5" t="s">
        <v>5</v>
      </c>
      <c r="D14" s="18">
        <f>ABS(K3-F3)*100/K3</f>
        <v>13.20601013758146</v>
      </c>
      <c r="E14" s="18">
        <f>ABS(K3-A3)*100/K3</f>
        <v>12.719044170890665</v>
      </c>
      <c r="F14" s="18">
        <f t="shared" ref="F14:F19" si="0">ABS(F3-A3)*100/F3</f>
        <v>0.43015911089788889</v>
      </c>
      <c r="G14" s="18">
        <f>ABS(L3-G3)*100/L3</f>
        <v>17.480752014324086</v>
      </c>
      <c r="H14" s="18">
        <f>ABS(L3-B3)*100/L3</f>
        <v>16.689346463742169</v>
      </c>
      <c r="I14" s="18">
        <f t="shared" ref="I14:I19" si="1">ABS(G3-B3)*100/G3</f>
        <v>0.6736469906878213</v>
      </c>
      <c r="J14" s="18">
        <f>ABS(M3-H3)*100/M3</f>
        <v>8.050245767340245</v>
      </c>
      <c r="K14" s="18">
        <f>ABS(M3-C3)*100/M3</f>
        <v>7.5696340797378472</v>
      </c>
      <c r="L14" s="18">
        <f>ABS(H3-C3)*100/H3</f>
        <v>0.4448038819247836</v>
      </c>
      <c r="M14" s="19">
        <f>ABS(N3-I3)*100/N3</f>
        <v>11.807207207207215</v>
      </c>
      <c r="N14" s="12" t="s">
        <v>4</v>
      </c>
      <c r="O14" s="12" t="s">
        <v>4</v>
      </c>
    </row>
    <row r="15" spans="1:17" x14ac:dyDescent="0.25">
      <c r="C15" s="5" t="s">
        <v>6</v>
      </c>
      <c r="D15" s="18">
        <f>ABS(K4-F4)*100/K4</f>
        <v>2.9225092250922566</v>
      </c>
      <c r="E15" s="18">
        <f>ABS(K4-A4)*100/K4</f>
        <v>3.5557195571955833</v>
      </c>
      <c r="F15" s="18">
        <f t="shared" si="0"/>
        <v>0.65227307282956337</v>
      </c>
      <c r="G15" s="18">
        <f>ABS(L4-G4)*100/L4</f>
        <v>4.3912030294203301</v>
      </c>
      <c r="H15" s="18">
        <f>ABS(L4-B4)*100/L4</f>
        <v>4.8354209146519063</v>
      </c>
      <c r="I15" s="18">
        <f t="shared" si="1"/>
        <v>0.46462030619239808</v>
      </c>
      <c r="J15" s="18">
        <f>ABS(M4-H4)*100/M4</f>
        <v>2.2449584816132822</v>
      </c>
      <c r="K15" s="18">
        <f>ABS(M4-C4)*100/M4</f>
        <v>2.9300118623961975</v>
      </c>
      <c r="L15" s="18">
        <f t="shared" ref="L15:L19" si="2">ABS(H4-C4)*100/H4</f>
        <v>0.70078572945423345</v>
      </c>
      <c r="M15" s="19">
        <f>ABS(N4-I4)*100/N4</f>
        <v>3.0774907749077607</v>
      </c>
      <c r="N15" s="12" t="s">
        <v>4</v>
      </c>
      <c r="O15" s="12" t="s">
        <v>4</v>
      </c>
    </row>
    <row r="16" spans="1:17" x14ac:dyDescent="0.25">
      <c r="C16" s="5" t="s">
        <v>7</v>
      </c>
      <c r="D16" s="18" t="s">
        <v>4</v>
      </c>
      <c r="E16" s="18" t="s">
        <v>4</v>
      </c>
      <c r="F16" s="18">
        <f t="shared" si="0"/>
        <v>0.87421447395094198</v>
      </c>
      <c r="G16" s="18" t="s">
        <v>4</v>
      </c>
      <c r="H16" s="18" t="s">
        <v>4</v>
      </c>
      <c r="I16" s="18">
        <f t="shared" si="1"/>
        <v>0.78693245289575853</v>
      </c>
      <c r="J16" s="18" t="s">
        <v>4</v>
      </c>
      <c r="K16" s="18" t="s">
        <v>4</v>
      </c>
      <c r="L16" s="18">
        <f t="shared" si="2"/>
        <v>0.83576885607342366</v>
      </c>
      <c r="M16" s="19" t="s">
        <v>4</v>
      </c>
      <c r="N16" s="12" t="s">
        <v>4</v>
      </c>
      <c r="O16" s="12" t="s">
        <v>4</v>
      </c>
    </row>
    <row r="17" spans="3:24" x14ac:dyDescent="0.25">
      <c r="C17" s="5" t="s">
        <v>8</v>
      </c>
      <c r="D17" s="18">
        <f>ABS(K6-F6)*100/K6</f>
        <v>5.0907307503678281</v>
      </c>
      <c r="E17" s="18">
        <f>ABS(K6-A6)*100/K6</f>
        <v>4.4384502206964251</v>
      </c>
      <c r="F17" s="18">
        <f t="shared" si="0"/>
        <v>0.6206832182191484</v>
      </c>
      <c r="G17" s="18">
        <f>ABS(L6-G6)*100/L6</f>
        <v>7.6277013752455831</v>
      </c>
      <c r="H17" s="18">
        <f>ABS(L6-B6)*100/L6</f>
        <v>7.0736738703339928</v>
      </c>
      <c r="I17" s="18">
        <f t="shared" si="1"/>
        <v>0.51476292611691699</v>
      </c>
      <c r="J17" s="18">
        <f>ABS(M6-H6)*100/M6</f>
        <v>7.3773006134969394</v>
      </c>
      <c r="K17" s="18">
        <f>ABS(M6-C6)*100/M6</f>
        <v>6.5163599182004068</v>
      </c>
      <c r="L17" s="18">
        <f t="shared" si="2"/>
        <v>0.80179022044470738</v>
      </c>
      <c r="M17" s="19">
        <f>ABS(N6-I6)*100/N6</f>
        <v>3.6460865337870687</v>
      </c>
      <c r="N17" s="12" t="s">
        <v>4</v>
      </c>
      <c r="O17" s="12" t="s">
        <v>4</v>
      </c>
      <c r="P17" s="7"/>
      <c r="Q17" s="8"/>
      <c r="R17" s="7"/>
      <c r="S17" s="9"/>
      <c r="T17" s="9"/>
      <c r="U17" s="9"/>
      <c r="V17" s="9"/>
      <c r="W17" s="9"/>
      <c r="X17" s="14"/>
    </row>
    <row r="18" spans="3:24" x14ac:dyDescent="0.25">
      <c r="C18" s="5" t="s">
        <v>9</v>
      </c>
      <c r="D18" s="18">
        <f>ABS(K7-F7)*100/K7</f>
        <v>3.3983528391850841</v>
      </c>
      <c r="E18" s="18">
        <f>ABS(K7-A7)*100/K7</f>
        <v>4.1313394018205427</v>
      </c>
      <c r="F18" s="18">
        <f t="shared" si="0"/>
        <v>0.75877232343175194</v>
      </c>
      <c r="G18" s="18">
        <f>ABS(L7-G7)*100/L7</f>
        <v>2.6193604905825625</v>
      </c>
      <c r="H18" s="18">
        <f>ABS(L7-B7)*100/L7</f>
        <v>3.3911519929916643</v>
      </c>
      <c r="I18" s="18">
        <f t="shared" si="1"/>
        <v>0.79255127743791798</v>
      </c>
      <c r="J18" s="18">
        <f>ABS(M7-H7)*100/M7</f>
        <v>2.376583660987333</v>
      </c>
      <c r="K18" s="18">
        <f>ABS(M7-C7)*100/M7</f>
        <v>3.1834862385321094</v>
      </c>
      <c r="L18" s="18">
        <f t="shared" si="2"/>
        <v>0.82654613801127463</v>
      </c>
      <c r="M18" s="19">
        <f>ABS(N7-I7)*100/N7</f>
        <v>4.8160821214713332</v>
      </c>
      <c r="N18" s="12" t="s">
        <v>4</v>
      </c>
      <c r="O18" s="12" t="s">
        <v>4</v>
      </c>
      <c r="P18" s="8"/>
      <c r="Q18" s="8"/>
      <c r="R18" s="7"/>
      <c r="S18" s="9"/>
      <c r="T18" s="9"/>
      <c r="U18" s="9"/>
      <c r="V18" s="9"/>
      <c r="W18" s="9"/>
      <c r="X18" s="14"/>
    </row>
    <row r="19" spans="3:24" x14ac:dyDescent="0.25">
      <c r="C19" s="5" t="s">
        <v>10</v>
      </c>
      <c r="D19" s="20" t="s">
        <v>4</v>
      </c>
      <c r="E19" s="20" t="s">
        <v>4</v>
      </c>
      <c r="F19" s="18">
        <f t="shared" si="0"/>
        <v>0.98892470452103509</v>
      </c>
      <c r="G19" s="18" t="s">
        <v>4</v>
      </c>
      <c r="H19" s="18" t="s">
        <v>4</v>
      </c>
      <c r="I19" s="18">
        <f t="shared" si="1"/>
        <v>0.82819986310746152</v>
      </c>
      <c r="J19" s="18" t="s">
        <v>4</v>
      </c>
      <c r="K19" s="18" t="s">
        <v>4</v>
      </c>
      <c r="L19" s="18">
        <f t="shared" si="2"/>
        <v>1.2110859631891353</v>
      </c>
      <c r="M19" s="19" t="s">
        <v>4</v>
      </c>
      <c r="N19" s="12" t="s">
        <v>4</v>
      </c>
      <c r="O19" s="12" t="s">
        <v>4</v>
      </c>
      <c r="P19" s="8"/>
      <c r="Q19" s="8"/>
      <c r="R19" s="7"/>
      <c r="S19" s="9"/>
      <c r="T19" s="9"/>
      <c r="U19" s="9"/>
      <c r="V19" s="9"/>
      <c r="W19" s="9"/>
      <c r="X19" s="14"/>
    </row>
    <row r="20" spans="3:24" ht="24.6" customHeight="1" x14ac:dyDescent="0.25">
      <c r="K20" s="13"/>
      <c r="L20" s="13"/>
      <c r="M20" s="13"/>
      <c r="O20" s="4"/>
      <c r="P20" s="7"/>
      <c r="Q20" s="30"/>
      <c r="R20" s="7"/>
      <c r="S20" s="10"/>
      <c r="T20" s="10"/>
      <c r="U20" s="10"/>
      <c r="V20" s="10"/>
      <c r="W20" s="10"/>
      <c r="X20" s="15"/>
    </row>
    <row r="21" spans="3:24" ht="23.45" customHeight="1" x14ac:dyDescent="0.25">
      <c r="K21" s="13"/>
      <c r="L21" s="13"/>
      <c r="M21" s="13"/>
      <c r="O21" s="1"/>
      <c r="P21" s="11"/>
      <c r="Q21" s="30"/>
      <c r="R21" s="7"/>
      <c r="S21" s="10"/>
      <c r="T21" s="10"/>
      <c r="U21" s="10"/>
      <c r="V21" s="10"/>
      <c r="W21" s="10"/>
      <c r="X21" s="15"/>
    </row>
    <row r="22" spans="3:24" ht="26.25" x14ac:dyDescent="0.4">
      <c r="O22" s="2"/>
      <c r="P22" s="11"/>
      <c r="Q22" s="30"/>
      <c r="R22" s="7"/>
      <c r="S22" s="10"/>
      <c r="T22" s="10"/>
      <c r="U22" s="10"/>
      <c r="V22" s="10"/>
      <c r="W22" s="10"/>
      <c r="X22" s="15"/>
    </row>
    <row r="23" spans="3:24" ht="26.25" x14ac:dyDescent="0.4">
      <c r="O23" s="2"/>
      <c r="P23" s="11"/>
      <c r="Q23" s="30"/>
      <c r="R23" s="7"/>
      <c r="S23" s="10"/>
      <c r="T23" s="10"/>
      <c r="U23" s="10"/>
      <c r="V23" s="10"/>
      <c r="W23" s="10"/>
      <c r="X23" s="15"/>
    </row>
    <row r="24" spans="3:24" ht="26.25" x14ac:dyDescent="0.4">
      <c r="O24" s="2"/>
      <c r="P24" s="11"/>
      <c r="Q24" s="30"/>
      <c r="R24" s="7"/>
      <c r="S24" s="10"/>
      <c r="T24" s="10"/>
      <c r="U24" s="10"/>
      <c r="V24" s="10"/>
      <c r="W24" s="10"/>
      <c r="X24" s="15"/>
    </row>
    <row r="25" spans="3:24" ht="26.25" x14ac:dyDescent="0.4">
      <c r="O25" s="2"/>
      <c r="P25" s="11"/>
      <c r="Q25" s="30"/>
      <c r="R25" s="7"/>
      <c r="S25" s="10"/>
      <c r="T25" s="10"/>
      <c r="U25" s="10"/>
      <c r="V25" s="10"/>
      <c r="W25" s="10"/>
      <c r="X25" s="15"/>
    </row>
    <row r="26" spans="3:24" ht="26.25" x14ac:dyDescent="0.4">
      <c r="O26" s="2"/>
      <c r="P26" s="11"/>
      <c r="Q26" s="30"/>
      <c r="R26" s="7"/>
      <c r="S26" s="10"/>
      <c r="T26" s="10"/>
      <c r="U26" s="10"/>
      <c r="V26" s="10"/>
      <c r="W26" s="10"/>
      <c r="X26" s="15"/>
    </row>
    <row r="27" spans="3:24" ht="26.25" x14ac:dyDescent="0.4">
      <c r="O27" s="2"/>
      <c r="P27" s="11"/>
      <c r="Q27" s="30"/>
      <c r="R27" s="7"/>
      <c r="S27" s="10"/>
      <c r="T27" s="10"/>
      <c r="U27" s="10"/>
      <c r="V27" s="10"/>
      <c r="W27" s="10"/>
      <c r="X27" s="15"/>
    </row>
    <row r="28" spans="3:24" x14ac:dyDescent="0.25">
      <c r="P28" s="11"/>
      <c r="Q28" s="30"/>
      <c r="R28" s="7"/>
      <c r="S28" s="10"/>
      <c r="T28" s="10"/>
      <c r="U28" s="10"/>
      <c r="V28" s="10"/>
      <c r="W28" s="10"/>
      <c r="X28" s="15"/>
    </row>
  </sheetData>
  <mergeCells count="13">
    <mergeCell ref="Q26:Q28"/>
    <mergeCell ref="K1:N1"/>
    <mergeCell ref="Q20:Q22"/>
    <mergeCell ref="Q23:Q25"/>
    <mergeCell ref="G12:I12"/>
    <mergeCell ref="J12:L12"/>
    <mergeCell ref="D11:F12"/>
    <mergeCell ref="C11:C13"/>
    <mergeCell ref="A1:D1"/>
    <mergeCell ref="F1:I1"/>
    <mergeCell ref="C10:O10"/>
    <mergeCell ref="G11:O11"/>
    <mergeCell ref="M12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Arman_Hoda</dc:creator>
  <cp:lastModifiedBy>DELL</cp:lastModifiedBy>
  <dcterms:created xsi:type="dcterms:W3CDTF">2022-02-12T07:06:05Z</dcterms:created>
  <dcterms:modified xsi:type="dcterms:W3CDTF">2022-09-14T09:20:56Z</dcterms:modified>
</cp:coreProperties>
</file>