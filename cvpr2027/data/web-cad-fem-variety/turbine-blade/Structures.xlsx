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.shortcut-targets-by-id\1AGua6KQ4nlULt7jazqTmBAxmzRAwxYZJ\$ 2021 Matteo\Data in Brief\DATA_in_BRIEF\FEM_REDUCED_MODEL\"/>
    </mc:Choice>
  </mc:AlternateContent>
  <bookViews>
    <workbookView xWindow="0" yWindow="0" windowWidth="6285" windowHeight="6945" activeTab="1"/>
  </bookViews>
  <sheets>
    <sheet name="Foglio1" sheetId="1" r:id="rId1"/>
    <sheet name="Foglio1 (2)" sheetId="2" r:id="rId2"/>
    <sheet name="Foglio2" sheetId="3" r:id="rId3"/>
    <sheet name="Foglio3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8" i="2" l="1"/>
  <c r="E15" i="4" l="1"/>
  <c r="G15" i="4" s="1"/>
  <c r="G14" i="4"/>
  <c r="I8" i="4"/>
  <c r="I7" i="4"/>
  <c r="D1" i="3"/>
  <c r="E1" i="3" s="1"/>
  <c r="F1" i="3" s="1"/>
  <c r="G1" i="3" s="1"/>
  <c r="H1" i="3" s="1"/>
  <c r="I1" i="3" s="1"/>
  <c r="J1" i="3" s="1"/>
  <c r="K1" i="3" s="1"/>
  <c r="L1" i="3" s="1"/>
  <c r="M1" i="3" s="1"/>
  <c r="N1" i="3" s="1"/>
  <c r="O1" i="3" s="1"/>
  <c r="P1" i="3" s="1"/>
  <c r="Q1" i="3" s="1"/>
  <c r="C1" i="3"/>
</calcChain>
</file>

<file path=xl/sharedStrings.xml><?xml version="1.0" encoding="utf-8"?>
<sst xmlns="http://schemas.openxmlformats.org/spreadsheetml/2006/main" count="243" uniqueCount="80">
  <si>
    <t>F_ax</t>
  </si>
  <si>
    <t>Blade</t>
  </si>
  <si>
    <t>K</t>
  </si>
  <si>
    <t>M</t>
  </si>
  <si>
    <t>Master</t>
  </si>
  <si>
    <t>Ndof</t>
  </si>
  <si>
    <t>Nmode</t>
  </si>
  <si>
    <t>AnsysNODES</t>
  </si>
  <si>
    <t>Unit</t>
  </si>
  <si>
    <t>N/mm</t>
  </si>
  <si>
    <t>tons</t>
  </si>
  <si>
    <t>Size</t>
  </si>
  <si>
    <t>1x16</t>
  </si>
  <si>
    <t>N</t>
  </si>
  <si>
    <t>Mid</t>
  </si>
  <si>
    <t>Contact</t>
  </si>
  <si>
    <t>Zp</t>
  </si>
  <si>
    <t>Zn</t>
  </si>
  <si>
    <t>All</t>
  </si>
  <si>
    <t>Main</t>
  </si>
  <si>
    <t>matNODES</t>
  </si>
  <si>
    <t>L</t>
  </si>
  <si>
    <t>dofs</t>
  </si>
  <si>
    <t>X10</t>
  </si>
  <si>
    <t>X40</t>
  </si>
  <si>
    <t>X73</t>
  </si>
  <si>
    <t>Xp</t>
  </si>
  <si>
    <t>Xn</t>
  </si>
  <si>
    <t>Flat</t>
  </si>
  <si>
    <t>#NODES x 4=(ID,x,y,z)</t>
  </si>
  <si>
    <t xml:space="preserve">#NODES </t>
  </si>
  <si>
    <t xml:space="preserve">3 *#NODES </t>
  </si>
  <si>
    <t>1x4=(ID,x,y,z)</t>
  </si>
  <si>
    <t>as Zp..</t>
  </si>
  <si>
    <t>as Xp..</t>
  </si>
  <si>
    <t>#dofs x #dofs x length(F_ax)</t>
  </si>
  <si>
    <t>mm</t>
  </si>
  <si>
    <t>as X10</t>
  </si>
  <si>
    <t>#dofs x #dofs</t>
  </si>
  <si>
    <t>Vertex</t>
  </si>
  <si>
    <t>Base</t>
  </si>
  <si>
    <t>SlotXp or SlotXn</t>
  </si>
  <si>
    <t>622 x 622 x 16</t>
  </si>
  <si>
    <t>174 x 4=(ID,x,y,z)</t>
  </si>
  <si>
    <t>33 x 4=(ID,x,y,z)</t>
  </si>
  <si>
    <t xml:space="preserve">3 *33 </t>
  </si>
  <si>
    <t>21 x 4=(ID,x,y,z)</t>
  </si>
  <si>
    <t>3 *21</t>
  </si>
  <si>
    <t>673 x 673</t>
  </si>
  <si>
    <t>191  x 4=(ID,x,y,z)</t>
  </si>
  <si>
    <t>8 x 4=(ID,x,y,z)</t>
  </si>
  <si>
    <t>117 x 4=(ID,x,y,z)</t>
  </si>
  <si>
    <t>NdofsPreviousBodies</t>
  </si>
  <si>
    <t>dofsGLOB</t>
  </si>
  <si>
    <t>1 x 622</t>
  </si>
  <si>
    <t>1 x 673</t>
  </si>
  <si>
    <t># modes used in CMS reduction</t>
  </si>
  <si>
    <t>index of dofs in the group of nodes in the stiffness matrix of the single body</t>
  </si>
  <si>
    <t>length of the group of nodes=33</t>
  </si>
  <si>
    <t>array containting index of dofs of the body in the global assembly matrices</t>
  </si>
  <si>
    <t>index_axialForce</t>
  </si>
  <si>
    <t>F_ax,    kN</t>
  </si>
  <si>
    <t>Blade dofs array</t>
  </si>
  <si>
    <t>nodes group</t>
  </si>
  <si>
    <t>nodes size</t>
  </si>
  <si>
    <t>Contact regions</t>
  </si>
  <si>
    <t>and Z&gt;0 (Zp)</t>
  </si>
  <si>
    <t xml:space="preserve">at X&gt;0 (Xp) </t>
  </si>
  <si>
    <t>and Z&lt;0 (Zn)</t>
  </si>
  <si>
    <t xml:space="preserve">at X&lt;0 (Xn) </t>
  </si>
  <si>
    <t>Lateral faces (Mid)</t>
  </si>
  <si>
    <t>at Z&lt;0 (Zn)</t>
  </si>
  <si>
    <t>at Z&gt;0 (Zp)</t>
  </si>
  <si>
    <t>Modal reduction dofs (N)</t>
  </si>
  <si>
    <t>total</t>
  </si>
  <si>
    <t>dofs size= 3*(node size)</t>
  </si>
  <si>
    <t>SlotXn or SlotXp dofs array</t>
  </si>
  <si>
    <t>at  Z&gt;0 (Zp)</t>
  </si>
  <si>
    <t>Vertex points (V)</t>
  </si>
  <si>
    <t>Basement 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</si>
</sst>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6" xfId="0" applyFont="1" applyBorder="1"/>
    <xf numFmtId="0" fontId="2" fillId="0" borderId="5" xfId="0" applyFont="1" applyBorder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top"/>
    </xf>
    <xf numFmtId="0" fontId="1" fillId="0" borderId="7" xfId="0" applyFont="1" applyBorder="1"/>
    <xf numFmtId="0" fontId="1" fillId="0" borderId="1" xfId="0" applyFont="1" applyBorder="1" applyAlignment="1">
      <alignment horizontal="left"/>
    </xf>
    <xf numFmtId="0" fontId="1" fillId="0" borderId="15" xfId="0" applyFont="1" applyBorder="1"/>
    <xf numFmtId="0" fontId="1" fillId="0" borderId="16" xfId="0" applyFont="1" applyBorder="1"/>
    <xf numFmtId="0" fontId="1" fillId="0" borderId="14" xfId="0" applyFont="1" applyBorder="1"/>
    <xf numFmtId="0" fontId="4" fillId="0" borderId="5" xfId="0" applyFont="1" applyBorder="1"/>
    <xf numFmtId="0" fontId="5" fillId="0" borderId="0" xfId="0" applyFont="1"/>
    <xf numFmtId="0" fontId="6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1" fillId="0" borderId="1" xfId="0" applyFont="1" applyBorder="1"/>
    <xf numFmtId="0" fontId="3" fillId="0" borderId="9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7" xfId="0" applyFont="1" applyBorder="1" applyAlignment="1">
      <alignment horizontal="left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>
      <selection activeCell="K31" sqref="K31"/>
    </sheetView>
  </sheetViews>
  <sheetFormatPr defaultRowHeight="15" x14ac:dyDescent="0.25"/>
  <cols>
    <col min="2" max="2" width="13.5703125" customWidth="1"/>
    <col min="6" max="6" width="13" customWidth="1"/>
    <col min="7" max="7" width="15.5703125" customWidth="1"/>
    <col min="8" max="8" width="25.7109375" customWidth="1"/>
  </cols>
  <sheetData>
    <row r="1" spans="1:9" ht="16.5" thickBot="1" x14ac:dyDescent="0.3">
      <c r="A1" s="27"/>
      <c r="B1" s="27"/>
      <c r="C1" s="27"/>
      <c r="D1" s="27"/>
      <c r="E1" s="27"/>
      <c r="F1" s="27"/>
      <c r="G1" s="27"/>
      <c r="H1" s="5" t="s">
        <v>11</v>
      </c>
      <c r="I1" s="5" t="s">
        <v>8</v>
      </c>
    </row>
    <row r="2" spans="1:9" ht="16.5" thickTop="1" x14ac:dyDescent="0.25">
      <c r="A2" s="22" t="s">
        <v>0</v>
      </c>
      <c r="B2" s="22"/>
      <c r="C2" s="22"/>
      <c r="D2" s="22"/>
      <c r="E2" s="22"/>
      <c r="F2" s="22"/>
      <c r="G2" s="22"/>
      <c r="H2" s="4" t="s">
        <v>12</v>
      </c>
      <c r="I2" s="4" t="s">
        <v>13</v>
      </c>
    </row>
    <row r="3" spans="1:9" ht="15.75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5.75" x14ac:dyDescent="0.25">
      <c r="A4" s="24" t="s">
        <v>1</v>
      </c>
      <c r="B4" s="25"/>
      <c r="C4" s="25"/>
      <c r="D4" s="25"/>
      <c r="E4" s="25"/>
      <c r="F4" s="25"/>
      <c r="G4" s="25"/>
      <c r="H4" s="25"/>
      <c r="I4" s="26"/>
    </row>
    <row r="5" spans="1:9" ht="15.75" x14ac:dyDescent="0.25">
      <c r="A5" s="41"/>
      <c r="B5" s="23" t="s">
        <v>2</v>
      </c>
      <c r="C5" s="23"/>
      <c r="D5" s="23"/>
      <c r="E5" s="23"/>
      <c r="F5" s="23"/>
      <c r="G5" s="23"/>
      <c r="H5" s="2" t="s">
        <v>35</v>
      </c>
      <c r="I5" s="2" t="s">
        <v>9</v>
      </c>
    </row>
    <row r="6" spans="1:9" ht="15.75" x14ac:dyDescent="0.25">
      <c r="A6" s="42"/>
      <c r="B6" s="23" t="s">
        <v>3</v>
      </c>
      <c r="C6" s="23"/>
      <c r="D6" s="23"/>
      <c r="E6" s="23"/>
      <c r="F6" s="23"/>
      <c r="G6" s="23"/>
      <c r="H6" s="2" t="s">
        <v>35</v>
      </c>
      <c r="I6" s="2" t="s">
        <v>10</v>
      </c>
    </row>
    <row r="7" spans="1:9" ht="15.75" x14ac:dyDescent="0.25">
      <c r="A7" s="42"/>
      <c r="B7" s="23" t="s">
        <v>5</v>
      </c>
      <c r="C7" s="23"/>
      <c r="D7" s="23"/>
      <c r="E7" s="23"/>
      <c r="F7" s="23"/>
      <c r="G7" s="23"/>
      <c r="H7" s="3">
        <v>1</v>
      </c>
      <c r="I7" s="2"/>
    </row>
    <row r="8" spans="1:9" ht="15.75" x14ac:dyDescent="0.25">
      <c r="A8" s="42"/>
      <c r="B8" s="23" t="s">
        <v>6</v>
      </c>
      <c r="C8" s="23"/>
      <c r="D8" s="23"/>
      <c r="E8" s="23"/>
      <c r="F8" s="23"/>
      <c r="G8" s="23"/>
      <c r="H8" s="3">
        <v>1</v>
      </c>
      <c r="I8" s="2"/>
    </row>
    <row r="9" spans="1:9" ht="15.75" x14ac:dyDescent="0.25">
      <c r="A9" s="42"/>
      <c r="B9" s="23" t="s">
        <v>7</v>
      </c>
      <c r="C9" s="23"/>
      <c r="D9" s="23"/>
      <c r="E9" s="23"/>
      <c r="F9" s="23"/>
      <c r="G9" s="23"/>
      <c r="H9" s="2" t="s">
        <v>29</v>
      </c>
      <c r="I9" s="2" t="s">
        <v>36</v>
      </c>
    </row>
    <row r="10" spans="1:9" ht="15.75" x14ac:dyDescent="0.25">
      <c r="A10" s="42"/>
      <c r="B10" s="38" t="s">
        <v>4</v>
      </c>
      <c r="C10" s="22" t="s">
        <v>15</v>
      </c>
      <c r="D10" s="22" t="s">
        <v>26</v>
      </c>
      <c r="E10" s="22" t="s">
        <v>16</v>
      </c>
      <c r="F10" s="22" t="s">
        <v>28</v>
      </c>
      <c r="G10" s="2" t="s">
        <v>7</v>
      </c>
      <c r="H10" s="2" t="s">
        <v>29</v>
      </c>
      <c r="I10" s="2" t="s">
        <v>36</v>
      </c>
    </row>
    <row r="11" spans="1:9" ht="15.75" x14ac:dyDescent="0.25">
      <c r="A11" s="42"/>
      <c r="B11" s="39"/>
      <c r="C11" s="22"/>
      <c r="D11" s="22"/>
      <c r="E11" s="22"/>
      <c r="F11" s="22"/>
      <c r="G11" s="2" t="s">
        <v>20</v>
      </c>
      <c r="H11" s="2" t="s">
        <v>30</v>
      </c>
      <c r="I11" s="2"/>
    </row>
    <row r="12" spans="1:9" ht="15.75" x14ac:dyDescent="0.25">
      <c r="A12" s="42"/>
      <c r="B12" s="39"/>
      <c r="C12" s="22"/>
      <c r="D12" s="22"/>
      <c r="E12" s="22"/>
      <c r="F12" s="22"/>
      <c r="G12" s="2" t="s">
        <v>22</v>
      </c>
      <c r="H12" s="2" t="s">
        <v>31</v>
      </c>
      <c r="I12" s="2"/>
    </row>
    <row r="13" spans="1:9" ht="15.75" x14ac:dyDescent="0.25">
      <c r="A13" s="42"/>
      <c r="B13" s="39"/>
      <c r="C13" s="22"/>
      <c r="D13" s="22"/>
      <c r="E13" s="22"/>
      <c r="F13" s="22"/>
      <c r="G13" s="2" t="s">
        <v>21</v>
      </c>
      <c r="H13" s="3">
        <v>1</v>
      </c>
      <c r="I13" s="2"/>
    </row>
    <row r="14" spans="1:9" ht="15.75" x14ac:dyDescent="0.25">
      <c r="A14" s="42"/>
      <c r="B14" s="39"/>
      <c r="C14" s="22"/>
      <c r="D14" s="22"/>
      <c r="E14" s="2" t="s">
        <v>17</v>
      </c>
      <c r="F14" s="34" t="s">
        <v>33</v>
      </c>
      <c r="G14" s="34"/>
      <c r="H14" s="34"/>
      <c r="I14" s="34"/>
    </row>
    <row r="15" spans="1:9" ht="15.75" x14ac:dyDescent="0.25">
      <c r="A15" s="42"/>
      <c r="B15" s="39"/>
      <c r="C15" s="22"/>
      <c r="D15" s="2" t="s">
        <v>27</v>
      </c>
      <c r="E15" s="34" t="s">
        <v>34</v>
      </c>
      <c r="F15" s="34"/>
      <c r="G15" s="34"/>
      <c r="H15" s="34"/>
      <c r="I15" s="34"/>
    </row>
    <row r="16" spans="1:9" ht="15.75" x14ac:dyDescent="0.25">
      <c r="A16" s="42"/>
      <c r="B16" s="39"/>
      <c r="C16" s="38" t="s">
        <v>14</v>
      </c>
      <c r="D16" s="31" t="s">
        <v>16</v>
      </c>
      <c r="E16" s="22" t="s">
        <v>18</v>
      </c>
      <c r="F16" s="22" t="s">
        <v>7</v>
      </c>
      <c r="G16" s="22"/>
      <c r="H16" s="2" t="s">
        <v>29</v>
      </c>
      <c r="I16" s="2" t="s">
        <v>36</v>
      </c>
    </row>
    <row r="17" spans="1:9" ht="15.75" x14ac:dyDescent="0.25">
      <c r="A17" s="42"/>
      <c r="B17" s="39"/>
      <c r="C17" s="39"/>
      <c r="D17" s="32"/>
      <c r="E17" s="22"/>
      <c r="F17" s="22" t="s">
        <v>20</v>
      </c>
      <c r="G17" s="22"/>
      <c r="H17" s="2" t="s">
        <v>30</v>
      </c>
      <c r="I17" s="2"/>
    </row>
    <row r="18" spans="1:9" ht="15.75" x14ac:dyDescent="0.25">
      <c r="A18" s="42"/>
      <c r="B18" s="39"/>
      <c r="C18" s="39"/>
      <c r="D18" s="32"/>
      <c r="E18" s="22"/>
      <c r="F18" s="22" t="s">
        <v>22</v>
      </c>
      <c r="G18" s="22"/>
      <c r="H18" s="2" t="s">
        <v>31</v>
      </c>
      <c r="I18" s="2"/>
    </row>
    <row r="19" spans="1:9" ht="15.75" x14ac:dyDescent="0.25">
      <c r="A19" s="42"/>
      <c r="B19" s="39"/>
      <c r="C19" s="39"/>
      <c r="D19" s="32"/>
      <c r="E19" s="22"/>
      <c r="F19" s="22" t="s">
        <v>21</v>
      </c>
      <c r="G19" s="22"/>
      <c r="H19" s="3">
        <v>1</v>
      </c>
      <c r="I19" s="2"/>
    </row>
    <row r="20" spans="1:9" ht="15.75" x14ac:dyDescent="0.25">
      <c r="A20" s="42"/>
      <c r="B20" s="39"/>
      <c r="C20" s="39"/>
      <c r="D20" s="32"/>
      <c r="E20" s="31" t="s">
        <v>19</v>
      </c>
      <c r="F20" s="22" t="s">
        <v>23</v>
      </c>
      <c r="G20" s="2" t="s">
        <v>7</v>
      </c>
      <c r="H20" s="2" t="s">
        <v>32</v>
      </c>
      <c r="I20" s="2" t="s">
        <v>36</v>
      </c>
    </row>
    <row r="21" spans="1:9" ht="15.75" x14ac:dyDescent="0.25">
      <c r="A21" s="42"/>
      <c r="B21" s="39"/>
      <c r="C21" s="39"/>
      <c r="D21" s="32"/>
      <c r="E21" s="32"/>
      <c r="F21" s="22"/>
      <c r="G21" s="2" t="s">
        <v>20</v>
      </c>
      <c r="H21" s="3">
        <v>1</v>
      </c>
      <c r="I21" s="2"/>
    </row>
    <row r="22" spans="1:9" ht="15.75" x14ac:dyDescent="0.25">
      <c r="A22" s="42"/>
      <c r="B22" s="39"/>
      <c r="C22" s="39"/>
      <c r="D22" s="32"/>
      <c r="E22" s="32"/>
      <c r="F22" s="6" t="s">
        <v>24</v>
      </c>
      <c r="G22" s="28" t="s">
        <v>37</v>
      </c>
      <c r="H22" s="29"/>
      <c r="I22" s="30"/>
    </row>
    <row r="23" spans="1:9" ht="15.75" x14ac:dyDescent="0.25">
      <c r="A23" s="42"/>
      <c r="B23" s="39"/>
      <c r="C23" s="39"/>
      <c r="D23" s="32"/>
      <c r="E23" s="32"/>
      <c r="F23" s="6" t="s">
        <v>25</v>
      </c>
      <c r="G23" s="28" t="s">
        <v>37</v>
      </c>
      <c r="H23" s="29"/>
      <c r="I23" s="30"/>
    </row>
    <row r="24" spans="1:9" ht="15.75" x14ac:dyDescent="0.25">
      <c r="A24" s="42"/>
      <c r="B24" s="39"/>
      <c r="C24" s="39"/>
      <c r="D24" s="33"/>
      <c r="E24" s="33"/>
      <c r="F24" s="6" t="s">
        <v>14</v>
      </c>
      <c r="G24" s="28" t="s">
        <v>37</v>
      </c>
      <c r="H24" s="29"/>
      <c r="I24" s="30"/>
    </row>
    <row r="25" spans="1:9" ht="15.75" x14ac:dyDescent="0.25">
      <c r="A25" s="43"/>
      <c r="B25" s="40"/>
      <c r="C25" s="40"/>
      <c r="D25" s="2" t="s">
        <v>17</v>
      </c>
      <c r="E25" s="34" t="s">
        <v>33</v>
      </c>
      <c r="F25" s="34"/>
      <c r="G25" s="34"/>
      <c r="H25" s="34"/>
      <c r="I25" s="34"/>
    </row>
    <row r="26" spans="1:9" ht="15.75" x14ac:dyDescent="0.25">
      <c r="A26" s="1"/>
      <c r="B26" s="1"/>
      <c r="C26" s="1"/>
      <c r="D26" s="1"/>
      <c r="E26" s="1"/>
    </row>
    <row r="27" spans="1:9" ht="15.75" x14ac:dyDescent="0.25">
      <c r="A27" s="24" t="s">
        <v>41</v>
      </c>
      <c r="B27" s="25"/>
      <c r="C27" s="25"/>
      <c r="D27" s="25"/>
      <c r="E27" s="25"/>
      <c r="F27" s="25"/>
      <c r="G27" s="25"/>
      <c r="H27" s="25"/>
      <c r="I27" s="26"/>
    </row>
    <row r="28" spans="1:9" ht="15.75" x14ac:dyDescent="0.25">
      <c r="A28" s="44"/>
      <c r="B28" s="23" t="s">
        <v>2</v>
      </c>
      <c r="C28" s="23"/>
      <c r="D28" s="23"/>
      <c r="E28" s="23"/>
      <c r="F28" s="23"/>
      <c r="G28" s="23"/>
      <c r="H28" s="2" t="s">
        <v>38</v>
      </c>
      <c r="I28" s="2" t="s">
        <v>9</v>
      </c>
    </row>
    <row r="29" spans="1:9" ht="15.75" x14ac:dyDescent="0.25">
      <c r="A29" s="44"/>
      <c r="B29" s="23" t="s">
        <v>3</v>
      </c>
      <c r="C29" s="23"/>
      <c r="D29" s="23"/>
      <c r="E29" s="23"/>
      <c r="F29" s="23"/>
      <c r="G29" s="23"/>
      <c r="H29" s="2" t="s">
        <v>38</v>
      </c>
      <c r="I29" s="2" t="s">
        <v>10</v>
      </c>
    </row>
    <row r="30" spans="1:9" ht="15.75" x14ac:dyDescent="0.25">
      <c r="A30" s="44"/>
      <c r="B30" s="23" t="s">
        <v>5</v>
      </c>
      <c r="C30" s="23"/>
      <c r="D30" s="23"/>
      <c r="E30" s="23"/>
      <c r="F30" s="23"/>
      <c r="G30" s="23"/>
      <c r="H30" s="3">
        <v>1</v>
      </c>
      <c r="I30" s="2"/>
    </row>
    <row r="31" spans="1:9" ht="15.75" x14ac:dyDescent="0.25">
      <c r="A31" s="44"/>
      <c r="B31" s="23" t="s">
        <v>6</v>
      </c>
      <c r="C31" s="23"/>
      <c r="D31" s="23"/>
      <c r="E31" s="23"/>
      <c r="F31" s="23"/>
      <c r="G31" s="23"/>
      <c r="H31" s="3">
        <v>1</v>
      </c>
      <c r="I31" s="2"/>
    </row>
    <row r="32" spans="1:9" ht="15.75" x14ac:dyDescent="0.25">
      <c r="A32" s="44"/>
      <c r="B32" s="23" t="s">
        <v>7</v>
      </c>
      <c r="C32" s="23"/>
      <c r="D32" s="23"/>
      <c r="E32" s="23"/>
      <c r="F32" s="23"/>
      <c r="G32" s="23"/>
      <c r="H32" s="2" t="s">
        <v>29</v>
      </c>
      <c r="I32" s="2" t="s">
        <v>36</v>
      </c>
    </row>
    <row r="33" spans="1:9" ht="15.75" x14ac:dyDescent="0.25">
      <c r="A33" s="44"/>
      <c r="B33" s="22" t="s">
        <v>4</v>
      </c>
      <c r="C33" s="38" t="s">
        <v>15</v>
      </c>
      <c r="D33" s="22" t="s">
        <v>16</v>
      </c>
      <c r="E33" s="22" t="s">
        <v>28</v>
      </c>
      <c r="F33" s="35" t="s">
        <v>7</v>
      </c>
      <c r="G33" s="35"/>
      <c r="H33" s="2" t="s">
        <v>29</v>
      </c>
      <c r="I33" s="2" t="s">
        <v>36</v>
      </c>
    </row>
    <row r="34" spans="1:9" ht="15.75" x14ac:dyDescent="0.25">
      <c r="A34" s="44"/>
      <c r="B34" s="22"/>
      <c r="C34" s="39"/>
      <c r="D34" s="22"/>
      <c r="E34" s="22"/>
      <c r="F34" s="35" t="s">
        <v>20</v>
      </c>
      <c r="G34" s="35"/>
      <c r="H34" s="2" t="s">
        <v>30</v>
      </c>
      <c r="I34" s="2"/>
    </row>
    <row r="35" spans="1:9" ht="15.75" x14ac:dyDescent="0.25">
      <c r="A35" s="44"/>
      <c r="B35" s="22"/>
      <c r="C35" s="39"/>
      <c r="D35" s="22"/>
      <c r="E35" s="22"/>
      <c r="F35" s="35" t="s">
        <v>22</v>
      </c>
      <c r="G35" s="35"/>
      <c r="H35" s="2" t="s">
        <v>31</v>
      </c>
      <c r="I35" s="2"/>
    </row>
    <row r="36" spans="1:9" ht="15.75" x14ac:dyDescent="0.25">
      <c r="A36" s="44"/>
      <c r="B36" s="22"/>
      <c r="C36" s="39"/>
      <c r="D36" s="22"/>
      <c r="E36" s="22"/>
      <c r="F36" s="35" t="s">
        <v>21</v>
      </c>
      <c r="G36" s="35"/>
      <c r="H36" s="3">
        <v>1</v>
      </c>
      <c r="I36" s="2"/>
    </row>
    <row r="37" spans="1:9" ht="15.75" x14ac:dyDescent="0.25">
      <c r="A37" s="44"/>
      <c r="B37" s="22"/>
      <c r="C37" s="40"/>
      <c r="D37" s="8" t="s">
        <v>17</v>
      </c>
      <c r="E37" s="36" t="s">
        <v>33</v>
      </c>
      <c r="F37" s="37"/>
      <c r="G37" s="37"/>
      <c r="H37" s="37"/>
      <c r="I37" s="37"/>
    </row>
    <row r="38" spans="1:9" ht="15.75" x14ac:dyDescent="0.25">
      <c r="A38" s="44"/>
      <c r="B38" s="22"/>
      <c r="C38" s="31" t="s">
        <v>39</v>
      </c>
      <c r="D38" s="22" t="s">
        <v>7</v>
      </c>
      <c r="E38" s="22"/>
      <c r="F38" s="22"/>
      <c r="G38" s="22"/>
      <c r="H38" s="2" t="s">
        <v>29</v>
      </c>
      <c r="I38" s="2" t="s">
        <v>36</v>
      </c>
    </row>
    <row r="39" spans="1:9" ht="15.75" x14ac:dyDescent="0.25">
      <c r="A39" s="44"/>
      <c r="B39" s="22"/>
      <c r="C39" s="32"/>
      <c r="D39" s="22" t="s">
        <v>20</v>
      </c>
      <c r="E39" s="22"/>
      <c r="F39" s="22"/>
      <c r="G39" s="22"/>
      <c r="H39" s="2" t="s">
        <v>30</v>
      </c>
      <c r="I39" s="2"/>
    </row>
    <row r="40" spans="1:9" ht="15.75" x14ac:dyDescent="0.25">
      <c r="A40" s="44"/>
      <c r="B40" s="22"/>
      <c r="C40" s="32"/>
      <c r="D40" s="22" t="s">
        <v>22</v>
      </c>
      <c r="E40" s="22"/>
      <c r="F40" s="22"/>
      <c r="G40" s="22"/>
      <c r="H40" s="2" t="s">
        <v>31</v>
      </c>
      <c r="I40" s="2"/>
    </row>
    <row r="41" spans="1:9" ht="15.75" x14ac:dyDescent="0.25">
      <c r="A41" s="44"/>
      <c r="B41" s="22"/>
      <c r="C41" s="32"/>
      <c r="D41" s="22" t="s">
        <v>21</v>
      </c>
      <c r="E41" s="22"/>
      <c r="F41" s="22"/>
      <c r="G41" s="22"/>
      <c r="H41" s="3">
        <v>1</v>
      </c>
      <c r="I41" s="2"/>
    </row>
    <row r="42" spans="1:9" ht="15.75" x14ac:dyDescent="0.25">
      <c r="A42" s="44"/>
      <c r="B42" s="22"/>
      <c r="C42" s="22" t="s">
        <v>40</v>
      </c>
      <c r="D42" s="22" t="s">
        <v>7</v>
      </c>
      <c r="E42" s="22"/>
      <c r="F42" s="22"/>
      <c r="G42" s="22"/>
      <c r="H42" s="2" t="s">
        <v>29</v>
      </c>
      <c r="I42" s="2" t="s">
        <v>36</v>
      </c>
    </row>
    <row r="43" spans="1:9" ht="15.75" x14ac:dyDescent="0.25">
      <c r="A43" s="44"/>
      <c r="B43" s="22"/>
      <c r="C43" s="22"/>
      <c r="D43" s="22" t="s">
        <v>20</v>
      </c>
      <c r="E43" s="22"/>
      <c r="F43" s="22"/>
      <c r="G43" s="22"/>
      <c r="H43" s="2" t="s">
        <v>30</v>
      </c>
      <c r="I43" s="2"/>
    </row>
    <row r="44" spans="1:9" ht="15.75" x14ac:dyDescent="0.25">
      <c r="A44" s="44"/>
      <c r="B44" s="22"/>
      <c r="C44" s="22"/>
      <c r="D44" s="22" t="s">
        <v>22</v>
      </c>
      <c r="E44" s="22"/>
      <c r="F44" s="22"/>
      <c r="G44" s="22"/>
      <c r="H44" s="2" t="s">
        <v>31</v>
      </c>
      <c r="I44" s="2"/>
    </row>
    <row r="45" spans="1:9" ht="15.75" x14ac:dyDescent="0.25">
      <c r="A45" s="44"/>
      <c r="B45" s="22"/>
      <c r="C45" s="22"/>
      <c r="D45" s="22" t="s">
        <v>21</v>
      </c>
      <c r="E45" s="22"/>
      <c r="F45" s="22"/>
      <c r="G45" s="22"/>
      <c r="H45" s="3">
        <v>1</v>
      </c>
      <c r="I45" s="2"/>
    </row>
  </sheetData>
  <mergeCells count="55">
    <mergeCell ref="A28:A45"/>
    <mergeCell ref="C42:C45"/>
    <mergeCell ref="D42:G42"/>
    <mergeCell ref="D43:G43"/>
    <mergeCell ref="D44:G44"/>
    <mergeCell ref="D45:G45"/>
    <mergeCell ref="B33:B45"/>
    <mergeCell ref="C33:C37"/>
    <mergeCell ref="C38:C41"/>
    <mergeCell ref="D38:G38"/>
    <mergeCell ref="D39:G39"/>
    <mergeCell ref="D40:G40"/>
    <mergeCell ref="D41:G41"/>
    <mergeCell ref="F33:G33"/>
    <mergeCell ref="F34:G34"/>
    <mergeCell ref="F35:G35"/>
    <mergeCell ref="F36:G36"/>
    <mergeCell ref="E37:I37"/>
    <mergeCell ref="D33:D36"/>
    <mergeCell ref="E33:E36"/>
    <mergeCell ref="E25:I25"/>
    <mergeCell ref="A27:I27"/>
    <mergeCell ref="B28:G28"/>
    <mergeCell ref="B29:G29"/>
    <mergeCell ref="B30:G30"/>
    <mergeCell ref="B31:G31"/>
    <mergeCell ref="B32:G32"/>
    <mergeCell ref="C16:C25"/>
    <mergeCell ref="B10:B25"/>
    <mergeCell ref="A5:A25"/>
    <mergeCell ref="G24:I24"/>
    <mergeCell ref="F18:G18"/>
    <mergeCell ref="A4:I4"/>
    <mergeCell ref="A2:G2"/>
    <mergeCell ref="A1:G1"/>
    <mergeCell ref="G22:I22"/>
    <mergeCell ref="G23:I23"/>
    <mergeCell ref="E20:E24"/>
    <mergeCell ref="D16:D24"/>
    <mergeCell ref="F19:G19"/>
    <mergeCell ref="F20:F21"/>
    <mergeCell ref="E10:E13"/>
    <mergeCell ref="E16:E19"/>
    <mergeCell ref="F10:F13"/>
    <mergeCell ref="F14:I14"/>
    <mergeCell ref="E15:I15"/>
    <mergeCell ref="F16:G16"/>
    <mergeCell ref="F17:G17"/>
    <mergeCell ref="C10:C15"/>
    <mergeCell ref="D10:D14"/>
    <mergeCell ref="B5:G5"/>
    <mergeCell ref="B6:G6"/>
    <mergeCell ref="B7:G7"/>
    <mergeCell ref="B8:G8"/>
    <mergeCell ref="B9:G9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showGridLines="0" tabSelected="1" zoomScale="70" zoomScaleNormal="70" workbookViewId="0">
      <selection activeCell="L32" sqref="L32"/>
    </sheetView>
  </sheetViews>
  <sheetFormatPr defaultRowHeight="15" x14ac:dyDescent="0.25"/>
  <cols>
    <col min="2" max="2" width="13.5703125" customWidth="1"/>
    <col min="6" max="6" width="13" customWidth="1"/>
    <col min="7" max="7" width="15.5703125" customWidth="1"/>
    <col min="8" max="8" width="25.7109375" customWidth="1"/>
  </cols>
  <sheetData>
    <row r="1" spans="1:12" ht="16.5" thickBot="1" x14ac:dyDescent="0.3">
      <c r="A1" s="27"/>
      <c r="B1" s="27"/>
      <c r="C1" s="27"/>
      <c r="D1" s="27"/>
      <c r="E1" s="27"/>
      <c r="F1" s="27"/>
      <c r="G1" s="27"/>
      <c r="H1" s="5" t="s">
        <v>11</v>
      </c>
      <c r="I1" s="5" t="s">
        <v>8</v>
      </c>
    </row>
    <row r="2" spans="1:12" ht="16.5" thickTop="1" x14ac:dyDescent="0.25">
      <c r="A2" s="22" t="s">
        <v>0</v>
      </c>
      <c r="B2" s="22"/>
      <c r="C2" s="22"/>
      <c r="D2" s="22"/>
      <c r="E2" s="22"/>
      <c r="F2" s="22"/>
      <c r="G2" s="22"/>
      <c r="H2" s="4" t="s">
        <v>12</v>
      </c>
      <c r="I2" s="4" t="s">
        <v>13</v>
      </c>
    </row>
    <row r="3" spans="1:12" ht="15.75" x14ac:dyDescent="0.25">
      <c r="A3" s="1"/>
      <c r="B3" s="1"/>
      <c r="C3" s="1"/>
      <c r="D3" s="1"/>
      <c r="E3" s="1"/>
      <c r="F3" s="1"/>
      <c r="G3" s="1"/>
      <c r="H3" s="1"/>
      <c r="I3" s="1"/>
    </row>
    <row r="4" spans="1:12" ht="16.5" thickBot="1" x14ac:dyDescent="0.3">
      <c r="A4" s="24" t="s">
        <v>1</v>
      </c>
      <c r="B4" s="25"/>
      <c r="C4" s="25"/>
      <c r="D4" s="25"/>
      <c r="E4" s="25"/>
      <c r="F4" s="25"/>
      <c r="G4" s="25"/>
      <c r="H4" s="5" t="s">
        <v>11</v>
      </c>
      <c r="I4" s="5" t="s">
        <v>8</v>
      </c>
    </row>
    <row r="5" spans="1:12" ht="16.5" thickTop="1" x14ac:dyDescent="0.25">
      <c r="A5" s="54"/>
      <c r="B5" s="49" t="s">
        <v>52</v>
      </c>
      <c r="C5" s="50"/>
      <c r="D5" s="50"/>
      <c r="E5" s="50"/>
      <c r="F5" s="50"/>
      <c r="G5" s="50"/>
      <c r="H5" s="7">
        <v>1</v>
      </c>
      <c r="I5" s="6"/>
    </row>
    <row r="6" spans="1:12" ht="15.75" x14ac:dyDescent="0.25">
      <c r="A6" s="54"/>
      <c r="B6" s="49" t="s">
        <v>53</v>
      </c>
      <c r="C6" s="50"/>
      <c r="D6" s="50"/>
      <c r="E6" s="50"/>
      <c r="F6" s="50"/>
      <c r="G6" s="50"/>
      <c r="H6" s="6" t="s">
        <v>54</v>
      </c>
      <c r="I6" s="6"/>
      <c r="K6" t="s">
        <v>59</v>
      </c>
    </row>
    <row r="7" spans="1:12" ht="15.75" x14ac:dyDescent="0.25">
      <c r="A7" s="54"/>
      <c r="B7" s="45" t="s">
        <v>2</v>
      </c>
      <c r="C7" s="23"/>
      <c r="D7" s="23"/>
      <c r="E7" s="23"/>
      <c r="F7" s="23"/>
      <c r="G7" s="23"/>
      <c r="H7" s="2" t="s">
        <v>42</v>
      </c>
      <c r="I7" s="2" t="s">
        <v>9</v>
      </c>
    </row>
    <row r="8" spans="1:12" ht="15.75" x14ac:dyDescent="0.25">
      <c r="A8" s="54"/>
      <c r="B8" s="45" t="s">
        <v>3</v>
      </c>
      <c r="C8" s="23"/>
      <c r="D8" s="23"/>
      <c r="E8" s="23"/>
      <c r="F8" s="23"/>
      <c r="G8" s="23"/>
      <c r="H8" s="2" t="s">
        <v>42</v>
      </c>
      <c r="I8" s="2" t="s">
        <v>10</v>
      </c>
    </row>
    <row r="9" spans="1:12" ht="15.75" x14ac:dyDescent="0.25">
      <c r="A9" s="54"/>
      <c r="B9" s="45" t="s">
        <v>5</v>
      </c>
      <c r="C9" s="23"/>
      <c r="D9" s="23"/>
      <c r="E9" s="23"/>
      <c r="F9" s="23"/>
      <c r="G9" s="23"/>
      <c r="H9" s="3">
        <v>1</v>
      </c>
      <c r="I9" s="2"/>
    </row>
    <row r="10" spans="1:12" ht="15.75" x14ac:dyDescent="0.25">
      <c r="A10" s="54"/>
      <c r="B10" s="45" t="s">
        <v>6</v>
      </c>
      <c r="C10" s="23"/>
      <c r="D10" s="23"/>
      <c r="E10" s="23"/>
      <c r="F10" s="23"/>
      <c r="G10" s="23"/>
      <c r="H10" s="3">
        <v>1</v>
      </c>
      <c r="I10" s="2"/>
      <c r="K10">
        <v>100</v>
      </c>
      <c r="L10" t="s">
        <v>56</v>
      </c>
    </row>
    <row r="11" spans="1:12" ht="15.75" x14ac:dyDescent="0.25">
      <c r="A11" s="54"/>
      <c r="B11" s="45" t="s">
        <v>7</v>
      </c>
      <c r="C11" s="23"/>
      <c r="D11" s="23"/>
      <c r="E11" s="23"/>
      <c r="F11" s="23"/>
      <c r="G11" s="23"/>
      <c r="H11" s="2" t="s">
        <v>43</v>
      </c>
      <c r="I11" s="2" t="s">
        <v>36</v>
      </c>
    </row>
    <row r="12" spans="1:12" ht="15.75" x14ac:dyDescent="0.25">
      <c r="A12" s="54"/>
      <c r="B12" s="46" t="s">
        <v>4</v>
      </c>
      <c r="C12" s="22" t="s">
        <v>15</v>
      </c>
      <c r="D12" s="22" t="s">
        <v>26</v>
      </c>
      <c r="E12" s="22" t="s">
        <v>16</v>
      </c>
      <c r="F12" s="22" t="s">
        <v>28</v>
      </c>
      <c r="G12" s="2" t="s">
        <v>7</v>
      </c>
      <c r="H12" s="2" t="s">
        <v>44</v>
      </c>
      <c r="I12" s="2" t="s">
        <v>36</v>
      </c>
    </row>
    <row r="13" spans="1:12" ht="15.75" x14ac:dyDescent="0.25">
      <c r="A13" s="54"/>
      <c r="B13" s="47"/>
      <c r="C13" s="22"/>
      <c r="D13" s="22"/>
      <c r="E13" s="22"/>
      <c r="F13" s="22"/>
      <c r="G13" s="2" t="s">
        <v>20</v>
      </c>
      <c r="H13" s="2">
        <v>33</v>
      </c>
      <c r="I13" s="2"/>
    </row>
    <row r="14" spans="1:12" ht="15.75" x14ac:dyDescent="0.25">
      <c r="A14" s="54"/>
      <c r="B14" s="47"/>
      <c r="C14" s="22"/>
      <c r="D14" s="22"/>
      <c r="E14" s="22"/>
      <c r="F14" s="22"/>
      <c r="G14" s="2" t="s">
        <v>22</v>
      </c>
      <c r="H14" s="2" t="s">
        <v>45</v>
      </c>
      <c r="I14" s="2"/>
      <c r="K14" t="s">
        <v>57</v>
      </c>
    </row>
    <row r="15" spans="1:12" ht="15.75" x14ac:dyDescent="0.25">
      <c r="A15" s="54"/>
      <c r="B15" s="47"/>
      <c r="C15" s="22"/>
      <c r="D15" s="22"/>
      <c r="E15" s="22"/>
      <c r="F15" s="22"/>
      <c r="G15" s="2" t="s">
        <v>21</v>
      </c>
      <c r="H15" s="3">
        <v>1</v>
      </c>
      <c r="I15" s="2"/>
      <c r="K15" t="s">
        <v>58</v>
      </c>
    </row>
    <row r="16" spans="1:12" ht="15.75" x14ac:dyDescent="0.25">
      <c r="A16" s="54"/>
      <c r="B16" s="47"/>
      <c r="C16" s="22"/>
      <c r="D16" s="22"/>
      <c r="E16" s="2" t="s">
        <v>17</v>
      </c>
      <c r="F16" s="34" t="s">
        <v>33</v>
      </c>
      <c r="G16" s="34"/>
      <c r="H16" s="34"/>
      <c r="I16" s="34"/>
    </row>
    <row r="17" spans="1:9" ht="15.75" x14ac:dyDescent="0.25">
      <c r="A17" s="54"/>
      <c r="B17" s="47"/>
      <c r="C17" s="22"/>
      <c r="D17" s="2" t="s">
        <v>27</v>
      </c>
      <c r="E17" s="34" t="s">
        <v>34</v>
      </c>
      <c r="F17" s="34"/>
      <c r="G17" s="34"/>
      <c r="H17" s="34"/>
      <c r="I17" s="34"/>
    </row>
    <row r="18" spans="1:9" ht="15.75" x14ac:dyDescent="0.25">
      <c r="A18" s="54"/>
      <c r="B18" s="47"/>
      <c r="C18" s="38" t="s">
        <v>14</v>
      </c>
      <c r="D18" s="31" t="s">
        <v>16</v>
      </c>
      <c r="E18" s="22" t="s">
        <v>18</v>
      </c>
      <c r="F18" s="22" t="s">
        <v>7</v>
      </c>
      <c r="G18" s="22"/>
      <c r="H18" s="2" t="s">
        <v>46</v>
      </c>
      <c r="I18" s="2" t="s">
        <v>36</v>
      </c>
    </row>
    <row r="19" spans="1:9" ht="15.75" x14ac:dyDescent="0.25">
      <c r="A19" s="54"/>
      <c r="B19" s="47"/>
      <c r="C19" s="39"/>
      <c r="D19" s="32"/>
      <c r="E19" s="22"/>
      <c r="F19" s="22" t="s">
        <v>20</v>
      </c>
      <c r="G19" s="22"/>
      <c r="H19" s="3">
        <v>21</v>
      </c>
      <c r="I19" s="2"/>
    </row>
    <row r="20" spans="1:9" ht="15.75" x14ac:dyDescent="0.25">
      <c r="A20" s="54"/>
      <c r="B20" s="47"/>
      <c r="C20" s="39"/>
      <c r="D20" s="32"/>
      <c r="E20" s="22"/>
      <c r="F20" s="22" t="s">
        <v>22</v>
      </c>
      <c r="G20" s="22"/>
      <c r="H20" s="2" t="s">
        <v>47</v>
      </c>
      <c r="I20" s="2"/>
    </row>
    <row r="21" spans="1:9" ht="15.75" x14ac:dyDescent="0.25">
      <c r="A21" s="54"/>
      <c r="B21" s="47"/>
      <c r="C21" s="39"/>
      <c r="D21" s="32"/>
      <c r="E21" s="22"/>
      <c r="F21" s="22" t="s">
        <v>21</v>
      </c>
      <c r="G21" s="22"/>
      <c r="H21" s="3">
        <v>1</v>
      </c>
      <c r="I21" s="2"/>
    </row>
    <row r="22" spans="1:9" ht="15.75" x14ac:dyDescent="0.25">
      <c r="A22" s="54"/>
      <c r="B22" s="47"/>
      <c r="C22" s="39"/>
      <c r="D22" s="32"/>
      <c r="E22" s="31" t="s">
        <v>19</v>
      </c>
      <c r="F22" s="22" t="s">
        <v>23</v>
      </c>
      <c r="G22" s="2" t="s">
        <v>7</v>
      </c>
      <c r="H22" s="2" t="s">
        <v>32</v>
      </c>
      <c r="I22" s="2" t="s">
        <v>36</v>
      </c>
    </row>
    <row r="23" spans="1:9" ht="15.75" x14ac:dyDescent="0.25">
      <c r="A23" s="54"/>
      <c r="B23" s="47"/>
      <c r="C23" s="39"/>
      <c r="D23" s="32"/>
      <c r="E23" s="32"/>
      <c r="F23" s="22"/>
      <c r="G23" s="2" t="s">
        <v>20</v>
      </c>
      <c r="H23" s="3">
        <v>1</v>
      </c>
      <c r="I23" s="2"/>
    </row>
    <row r="24" spans="1:9" ht="15.75" x14ac:dyDescent="0.25">
      <c r="A24" s="54"/>
      <c r="B24" s="47"/>
      <c r="C24" s="39"/>
      <c r="D24" s="32"/>
      <c r="E24" s="32"/>
      <c r="F24" s="6" t="s">
        <v>24</v>
      </c>
      <c r="G24" s="28" t="s">
        <v>37</v>
      </c>
      <c r="H24" s="29"/>
      <c r="I24" s="30"/>
    </row>
    <row r="25" spans="1:9" ht="15.75" x14ac:dyDescent="0.25">
      <c r="A25" s="54"/>
      <c r="B25" s="47"/>
      <c r="C25" s="39"/>
      <c r="D25" s="32"/>
      <c r="E25" s="32"/>
      <c r="F25" s="6" t="s">
        <v>25</v>
      </c>
      <c r="G25" s="28" t="s">
        <v>37</v>
      </c>
      <c r="H25" s="29"/>
      <c r="I25" s="30"/>
    </row>
    <row r="26" spans="1:9" ht="15.75" x14ac:dyDescent="0.25">
      <c r="A26" s="54"/>
      <c r="B26" s="47"/>
      <c r="C26" s="39"/>
      <c r="D26" s="33"/>
      <c r="E26" s="33"/>
      <c r="F26" s="6" t="s">
        <v>14</v>
      </c>
      <c r="G26" s="28" t="s">
        <v>37</v>
      </c>
      <c r="H26" s="29"/>
      <c r="I26" s="30"/>
    </row>
    <row r="27" spans="1:9" ht="15.75" x14ac:dyDescent="0.25">
      <c r="A27" s="54"/>
      <c r="B27" s="48"/>
      <c r="C27" s="40"/>
      <c r="D27" s="2" t="s">
        <v>17</v>
      </c>
      <c r="E27" s="34" t="s">
        <v>33</v>
      </c>
      <c r="F27" s="34"/>
      <c r="G27" s="34"/>
      <c r="H27" s="34"/>
      <c r="I27" s="34"/>
    </row>
    <row r="28" spans="1:9" ht="15.75" x14ac:dyDescent="0.25">
      <c r="A28" s="1"/>
      <c r="B28" s="1"/>
      <c r="C28" s="1"/>
      <c r="D28" s="1"/>
      <c r="E28" s="1"/>
    </row>
    <row r="29" spans="1:9" ht="16.5" thickBot="1" x14ac:dyDescent="0.3">
      <c r="A29" s="24" t="s">
        <v>41</v>
      </c>
      <c r="B29" s="25"/>
      <c r="C29" s="25"/>
      <c r="D29" s="25"/>
      <c r="E29" s="25"/>
      <c r="F29" s="25"/>
      <c r="G29" s="26"/>
      <c r="H29" s="5" t="s">
        <v>11</v>
      </c>
      <c r="I29" s="5" t="s">
        <v>8</v>
      </c>
    </row>
    <row r="30" spans="1:9" ht="16.5" thickTop="1" x14ac:dyDescent="0.25">
      <c r="A30" s="51"/>
      <c r="B30" s="49" t="s">
        <v>52</v>
      </c>
      <c r="C30" s="50"/>
      <c r="D30" s="50"/>
      <c r="E30" s="50"/>
      <c r="F30" s="50"/>
      <c r="G30" s="50"/>
      <c r="H30" s="7">
        <v>1</v>
      </c>
      <c r="I30" s="6"/>
    </row>
    <row r="31" spans="1:9" ht="15.75" x14ac:dyDescent="0.25">
      <c r="A31" s="52"/>
      <c r="B31" s="49" t="s">
        <v>53</v>
      </c>
      <c r="C31" s="50"/>
      <c r="D31" s="50"/>
      <c r="E31" s="50"/>
      <c r="F31" s="50"/>
      <c r="G31" s="50"/>
      <c r="H31" s="6" t="s">
        <v>55</v>
      </c>
      <c r="I31" s="6"/>
    </row>
    <row r="32" spans="1:9" ht="15.75" x14ac:dyDescent="0.25">
      <c r="A32" s="52"/>
      <c r="B32" s="23" t="s">
        <v>2</v>
      </c>
      <c r="C32" s="23"/>
      <c r="D32" s="23"/>
      <c r="E32" s="23"/>
      <c r="F32" s="23"/>
      <c r="G32" s="23"/>
      <c r="H32" s="2" t="s">
        <v>48</v>
      </c>
      <c r="I32" s="2" t="s">
        <v>9</v>
      </c>
    </row>
    <row r="33" spans="1:9" ht="15.75" x14ac:dyDescent="0.25">
      <c r="A33" s="52"/>
      <c r="B33" s="23" t="s">
        <v>3</v>
      </c>
      <c r="C33" s="23"/>
      <c r="D33" s="23"/>
      <c r="E33" s="23"/>
      <c r="F33" s="23"/>
      <c r="G33" s="23"/>
      <c r="H33" s="2" t="s">
        <v>48</v>
      </c>
      <c r="I33" s="2" t="s">
        <v>10</v>
      </c>
    </row>
    <row r="34" spans="1:9" ht="15.75" x14ac:dyDescent="0.25">
      <c r="A34" s="52"/>
      <c r="B34" s="23" t="s">
        <v>5</v>
      </c>
      <c r="C34" s="23"/>
      <c r="D34" s="23"/>
      <c r="E34" s="23"/>
      <c r="F34" s="23"/>
      <c r="G34" s="23"/>
      <c r="H34" s="3">
        <v>1</v>
      </c>
      <c r="I34" s="2"/>
    </row>
    <row r="35" spans="1:9" ht="15.75" x14ac:dyDescent="0.25">
      <c r="A35" s="52"/>
      <c r="B35" s="23" t="s">
        <v>6</v>
      </c>
      <c r="C35" s="23"/>
      <c r="D35" s="23"/>
      <c r="E35" s="23"/>
      <c r="F35" s="23"/>
      <c r="G35" s="23"/>
      <c r="H35" s="3">
        <v>1</v>
      </c>
      <c r="I35" s="2"/>
    </row>
    <row r="36" spans="1:9" ht="15.75" x14ac:dyDescent="0.25">
      <c r="A36" s="52"/>
      <c r="B36" s="23" t="s">
        <v>7</v>
      </c>
      <c r="C36" s="23"/>
      <c r="D36" s="23"/>
      <c r="E36" s="23"/>
      <c r="F36" s="23"/>
      <c r="G36" s="23"/>
      <c r="H36" s="2" t="s">
        <v>49</v>
      </c>
      <c r="I36" s="2" t="s">
        <v>36</v>
      </c>
    </row>
    <row r="37" spans="1:9" ht="15.75" x14ac:dyDescent="0.25">
      <c r="A37" s="52"/>
      <c r="B37" s="22" t="s">
        <v>4</v>
      </c>
      <c r="C37" s="38" t="s">
        <v>15</v>
      </c>
      <c r="D37" s="22" t="s">
        <v>16</v>
      </c>
      <c r="E37" s="22" t="s">
        <v>28</v>
      </c>
      <c r="F37" s="35" t="s">
        <v>7</v>
      </c>
      <c r="G37" s="35"/>
      <c r="H37" s="2" t="s">
        <v>44</v>
      </c>
      <c r="I37" s="2" t="s">
        <v>36</v>
      </c>
    </row>
    <row r="38" spans="1:9" ht="15.75" x14ac:dyDescent="0.25">
      <c r="A38" s="52"/>
      <c r="B38" s="22"/>
      <c r="C38" s="39"/>
      <c r="D38" s="22"/>
      <c r="E38" s="22"/>
      <c r="F38" s="35" t="s">
        <v>20</v>
      </c>
      <c r="G38" s="35"/>
      <c r="H38" s="9">
        <v>33</v>
      </c>
      <c r="I38" s="2"/>
    </row>
    <row r="39" spans="1:9" ht="15.75" x14ac:dyDescent="0.25">
      <c r="A39" s="52"/>
      <c r="B39" s="22"/>
      <c r="C39" s="39"/>
      <c r="D39" s="22"/>
      <c r="E39" s="22"/>
      <c r="F39" s="35" t="s">
        <v>22</v>
      </c>
      <c r="G39" s="35"/>
      <c r="H39" s="9">
        <v>99</v>
      </c>
      <c r="I39" s="2"/>
    </row>
    <row r="40" spans="1:9" ht="15.75" x14ac:dyDescent="0.25">
      <c r="A40" s="52"/>
      <c r="B40" s="22"/>
      <c r="C40" s="39"/>
      <c r="D40" s="22"/>
      <c r="E40" s="22"/>
      <c r="F40" s="35" t="s">
        <v>21</v>
      </c>
      <c r="G40" s="35"/>
      <c r="H40" s="3">
        <v>1</v>
      </c>
      <c r="I40" s="2"/>
    </row>
    <row r="41" spans="1:9" ht="15.75" x14ac:dyDescent="0.25">
      <c r="A41" s="52"/>
      <c r="B41" s="22"/>
      <c r="C41" s="40"/>
      <c r="D41" s="8" t="s">
        <v>17</v>
      </c>
      <c r="E41" s="36" t="s">
        <v>33</v>
      </c>
      <c r="F41" s="37"/>
      <c r="G41" s="37"/>
      <c r="H41" s="37"/>
      <c r="I41" s="37"/>
    </row>
    <row r="42" spans="1:9" ht="15.75" x14ac:dyDescent="0.25">
      <c r="A42" s="52"/>
      <c r="B42" s="22"/>
      <c r="C42" s="31" t="s">
        <v>39</v>
      </c>
      <c r="D42" s="22" t="s">
        <v>7</v>
      </c>
      <c r="E42" s="22"/>
      <c r="F42" s="22"/>
      <c r="G42" s="22"/>
      <c r="H42" s="2" t="s">
        <v>50</v>
      </c>
      <c r="I42" s="2" t="s">
        <v>36</v>
      </c>
    </row>
    <row r="43" spans="1:9" ht="15.75" x14ac:dyDescent="0.25">
      <c r="A43" s="52"/>
      <c r="B43" s="22"/>
      <c r="C43" s="32"/>
      <c r="D43" s="22" t="s">
        <v>20</v>
      </c>
      <c r="E43" s="22"/>
      <c r="F43" s="22"/>
      <c r="G43" s="22"/>
      <c r="H43" s="9">
        <v>8</v>
      </c>
      <c r="I43" s="2"/>
    </row>
    <row r="44" spans="1:9" ht="15.75" x14ac:dyDescent="0.25">
      <c r="A44" s="52"/>
      <c r="B44" s="22"/>
      <c r="C44" s="32"/>
      <c r="D44" s="22" t="s">
        <v>22</v>
      </c>
      <c r="E44" s="22"/>
      <c r="F44" s="22"/>
      <c r="G44" s="22"/>
      <c r="H44" s="9">
        <v>24</v>
      </c>
      <c r="I44" s="2"/>
    </row>
    <row r="45" spans="1:9" ht="15.75" x14ac:dyDescent="0.25">
      <c r="A45" s="52"/>
      <c r="B45" s="22"/>
      <c r="C45" s="32"/>
      <c r="D45" s="22" t="s">
        <v>21</v>
      </c>
      <c r="E45" s="22"/>
      <c r="F45" s="22"/>
      <c r="G45" s="22"/>
      <c r="H45" s="3">
        <v>1</v>
      </c>
      <c r="I45" s="2"/>
    </row>
    <row r="46" spans="1:9" ht="15.75" x14ac:dyDescent="0.25">
      <c r="A46" s="52"/>
      <c r="B46" s="22"/>
      <c r="C46" s="22" t="s">
        <v>40</v>
      </c>
      <c r="D46" s="22" t="s">
        <v>7</v>
      </c>
      <c r="E46" s="22"/>
      <c r="F46" s="22"/>
      <c r="G46" s="22"/>
      <c r="H46" s="2" t="s">
        <v>51</v>
      </c>
      <c r="I46" s="2" t="s">
        <v>36</v>
      </c>
    </row>
    <row r="47" spans="1:9" ht="15.75" x14ac:dyDescent="0.25">
      <c r="A47" s="52"/>
      <c r="B47" s="22"/>
      <c r="C47" s="22"/>
      <c r="D47" s="22" t="s">
        <v>20</v>
      </c>
      <c r="E47" s="22"/>
      <c r="F47" s="22"/>
      <c r="G47" s="22"/>
      <c r="H47" s="9">
        <v>117</v>
      </c>
      <c r="I47" s="2"/>
    </row>
    <row r="48" spans="1:9" ht="15.75" x14ac:dyDescent="0.25">
      <c r="A48" s="52"/>
      <c r="B48" s="22"/>
      <c r="C48" s="22"/>
      <c r="D48" s="22" t="s">
        <v>22</v>
      </c>
      <c r="E48" s="22"/>
      <c r="F48" s="22"/>
      <c r="G48" s="22"/>
      <c r="H48" s="9">
        <f>3 *117</f>
        <v>351</v>
      </c>
      <c r="I48" s="2"/>
    </row>
    <row r="49" spans="1:9" ht="15.75" x14ac:dyDescent="0.25">
      <c r="A49" s="53"/>
      <c r="B49" s="22"/>
      <c r="C49" s="22"/>
      <c r="D49" s="22" t="s">
        <v>21</v>
      </c>
      <c r="E49" s="22"/>
      <c r="F49" s="22"/>
      <c r="G49" s="22"/>
      <c r="H49" s="3">
        <v>1</v>
      </c>
      <c r="I49" s="2"/>
    </row>
  </sheetData>
  <mergeCells count="59">
    <mergeCell ref="A4:G4"/>
    <mergeCell ref="A29:G29"/>
    <mergeCell ref="A30:A49"/>
    <mergeCell ref="A5:A27"/>
    <mergeCell ref="B5:G5"/>
    <mergeCell ref="B6:G6"/>
    <mergeCell ref="D42:G42"/>
    <mergeCell ref="D43:G43"/>
    <mergeCell ref="D44:G44"/>
    <mergeCell ref="D45:G45"/>
    <mergeCell ref="C46:C49"/>
    <mergeCell ref="D46:G46"/>
    <mergeCell ref="D47:G47"/>
    <mergeCell ref="D48:G48"/>
    <mergeCell ref="D49:G49"/>
    <mergeCell ref="B37:B49"/>
    <mergeCell ref="F18:G18"/>
    <mergeCell ref="F19:G19"/>
    <mergeCell ref="F20:G20"/>
    <mergeCell ref="C37:C41"/>
    <mergeCell ref="D37:D40"/>
    <mergeCell ref="E37:E40"/>
    <mergeCell ref="F37:G37"/>
    <mergeCell ref="F38:G38"/>
    <mergeCell ref="F39:G39"/>
    <mergeCell ref="F40:G40"/>
    <mergeCell ref="E41:I41"/>
    <mergeCell ref="B30:G30"/>
    <mergeCell ref="B31:G31"/>
    <mergeCell ref="F12:F15"/>
    <mergeCell ref="F16:I16"/>
    <mergeCell ref="E17:I17"/>
    <mergeCell ref="C42:C45"/>
    <mergeCell ref="G25:I25"/>
    <mergeCell ref="G26:I26"/>
    <mergeCell ref="E27:I27"/>
    <mergeCell ref="B32:G32"/>
    <mergeCell ref="B33:G33"/>
    <mergeCell ref="B34:G34"/>
    <mergeCell ref="B35:G35"/>
    <mergeCell ref="B36:G36"/>
    <mergeCell ref="C18:C27"/>
    <mergeCell ref="D18:D26"/>
    <mergeCell ref="E18:E21"/>
    <mergeCell ref="B9:G9"/>
    <mergeCell ref="B10:G10"/>
    <mergeCell ref="B11:G11"/>
    <mergeCell ref="B12:B27"/>
    <mergeCell ref="A1:G1"/>
    <mergeCell ref="A2:G2"/>
    <mergeCell ref="B7:G7"/>
    <mergeCell ref="B8:G8"/>
    <mergeCell ref="F21:G21"/>
    <mergeCell ref="E22:E26"/>
    <mergeCell ref="F22:F23"/>
    <mergeCell ref="G24:I24"/>
    <mergeCell ref="C12:C17"/>
    <mergeCell ref="D12:D16"/>
    <mergeCell ref="E12:E15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>
      <selection activeCell="E4" sqref="E4"/>
    </sheetView>
  </sheetViews>
  <sheetFormatPr defaultRowHeight="15.75" x14ac:dyDescent="0.25"/>
  <cols>
    <col min="1" max="1" width="16.140625" style="1" customWidth="1"/>
    <col min="2" max="2" width="6.7109375" style="1" customWidth="1"/>
    <col min="3" max="4" width="2.85546875" style="1" customWidth="1"/>
    <col min="5" max="5" width="2.42578125" style="1" customWidth="1"/>
    <col min="6" max="6" width="3" style="1" customWidth="1"/>
    <col min="7" max="9" width="3.28515625" style="1" customWidth="1"/>
    <col min="10" max="10" width="3.140625" style="1" customWidth="1"/>
    <col min="11" max="11" width="3.5703125" style="1" customWidth="1"/>
    <col min="12" max="12" width="3.28515625" style="1" customWidth="1"/>
    <col min="13" max="13" width="3.42578125" style="1" customWidth="1"/>
    <col min="14" max="14" width="3.7109375" style="1" customWidth="1"/>
    <col min="15" max="15" width="3.42578125" style="1" customWidth="1"/>
    <col min="16" max="16" width="3.140625" style="1" customWidth="1"/>
    <col min="17" max="17" width="3.28515625" style="1" customWidth="1"/>
    <col min="18" max="16384" width="9.140625" style="1"/>
  </cols>
  <sheetData>
    <row r="1" spans="1:17" ht="16.5" thickBot="1" x14ac:dyDescent="0.3">
      <c r="A1" s="10" t="s">
        <v>60</v>
      </c>
      <c r="B1" s="13">
        <v>1</v>
      </c>
      <c r="C1" s="13">
        <f>B1+1</f>
        <v>2</v>
      </c>
      <c r="D1" s="13">
        <f t="shared" ref="D1:Q1" si="0">C1+1</f>
        <v>3</v>
      </c>
      <c r="E1" s="13">
        <f t="shared" si="0"/>
        <v>4</v>
      </c>
      <c r="F1" s="13">
        <f t="shared" si="0"/>
        <v>5</v>
      </c>
      <c r="G1" s="13">
        <f t="shared" si="0"/>
        <v>6</v>
      </c>
      <c r="H1" s="13">
        <f t="shared" si="0"/>
        <v>7</v>
      </c>
      <c r="I1" s="13">
        <f t="shared" si="0"/>
        <v>8</v>
      </c>
      <c r="J1" s="13">
        <f t="shared" si="0"/>
        <v>9</v>
      </c>
      <c r="K1" s="13">
        <f t="shared" si="0"/>
        <v>10</v>
      </c>
      <c r="L1" s="13">
        <f t="shared" si="0"/>
        <v>11</v>
      </c>
      <c r="M1" s="13">
        <f t="shared" si="0"/>
        <v>12</v>
      </c>
      <c r="N1" s="13">
        <f t="shared" si="0"/>
        <v>13</v>
      </c>
      <c r="O1" s="13">
        <f t="shared" si="0"/>
        <v>14</v>
      </c>
      <c r="P1" s="13">
        <f t="shared" si="0"/>
        <v>15</v>
      </c>
      <c r="Q1" s="13">
        <f t="shared" si="0"/>
        <v>16</v>
      </c>
    </row>
    <row r="2" spans="1:17" ht="17.25" thickTop="1" thickBot="1" x14ac:dyDescent="0.3">
      <c r="A2" s="11" t="s">
        <v>61</v>
      </c>
      <c r="B2" s="12">
        <v>1E-3</v>
      </c>
      <c r="C2" s="12">
        <v>2</v>
      </c>
      <c r="D2" s="12">
        <v>4</v>
      </c>
      <c r="E2" s="12">
        <v>6</v>
      </c>
      <c r="F2" s="12">
        <v>8</v>
      </c>
      <c r="G2" s="12">
        <v>10</v>
      </c>
      <c r="H2" s="12">
        <v>12</v>
      </c>
      <c r="I2" s="12">
        <v>14</v>
      </c>
      <c r="J2" s="12">
        <v>16</v>
      </c>
      <c r="K2" s="12">
        <v>18</v>
      </c>
      <c r="L2" s="12">
        <v>20</v>
      </c>
      <c r="M2" s="12">
        <v>22</v>
      </c>
      <c r="N2" s="12">
        <v>24</v>
      </c>
      <c r="O2" s="12">
        <v>26</v>
      </c>
      <c r="P2" s="12">
        <v>28</v>
      </c>
      <c r="Q2" s="12">
        <v>30</v>
      </c>
    </row>
    <row r="3" spans="1:17" ht="16.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5"/>
  <sheetViews>
    <sheetView showGridLines="0" zoomScaleNormal="100" workbookViewId="0">
      <selection activeCell="J15" sqref="J15"/>
    </sheetView>
  </sheetViews>
  <sheetFormatPr defaultRowHeight="12" x14ac:dyDescent="0.2"/>
  <cols>
    <col min="1" max="1" width="14.5703125" style="15" customWidth="1"/>
    <col min="2" max="2" width="13.28515625" style="15" customWidth="1"/>
    <col min="3" max="3" width="14.5703125" style="15" customWidth="1"/>
    <col min="4" max="4" width="11.28515625" style="15" customWidth="1"/>
    <col min="5" max="5" width="9.42578125" style="15" customWidth="1"/>
    <col min="6" max="6" width="11.5703125" style="15" customWidth="1"/>
    <col min="7" max="8" width="11.7109375" style="15" customWidth="1"/>
    <col min="9" max="9" width="5.42578125" style="15" customWidth="1"/>
    <col min="10" max="16384" width="9.140625" style="15"/>
  </cols>
  <sheetData>
    <row r="3" spans="1:9" x14ac:dyDescent="0.2">
      <c r="A3" s="14" t="s">
        <v>62</v>
      </c>
    </row>
    <row r="4" spans="1:9" ht="36" x14ac:dyDescent="0.2">
      <c r="A4" s="60" t="s">
        <v>63</v>
      </c>
      <c r="B4" s="61" t="s">
        <v>65</v>
      </c>
      <c r="C4" s="61"/>
      <c r="D4" s="61"/>
      <c r="E4" s="61"/>
      <c r="F4" s="61" t="s">
        <v>70</v>
      </c>
      <c r="G4" s="61"/>
      <c r="H4" s="16" t="s">
        <v>73</v>
      </c>
      <c r="I4" s="17" t="s">
        <v>74</v>
      </c>
    </row>
    <row r="5" spans="1:9" x14ac:dyDescent="0.2">
      <c r="A5" s="60"/>
      <c r="B5" s="18" t="s">
        <v>67</v>
      </c>
      <c r="C5" s="18" t="s">
        <v>67</v>
      </c>
      <c r="D5" s="18" t="s">
        <v>69</v>
      </c>
      <c r="E5" s="18" t="s">
        <v>69</v>
      </c>
      <c r="F5" s="62"/>
      <c r="G5" s="63"/>
      <c r="H5" s="64"/>
      <c r="I5" s="64"/>
    </row>
    <row r="6" spans="1:9" ht="14.25" customHeight="1" x14ac:dyDescent="0.2">
      <c r="A6" s="60"/>
      <c r="B6" s="19" t="s">
        <v>66</v>
      </c>
      <c r="C6" s="19" t="s">
        <v>68</v>
      </c>
      <c r="D6" s="19" t="s">
        <v>66</v>
      </c>
      <c r="E6" s="19" t="s">
        <v>68</v>
      </c>
      <c r="F6" s="19" t="s">
        <v>71</v>
      </c>
      <c r="G6" s="19" t="s">
        <v>72</v>
      </c>
      <c r="H6" s="64"/>
      <c r="I6" s="64"/>
    </row>
    <row r="7" spans="1:9" x14ac:dyDescent="0.2">
      <c r="A7" s="19" t="s">
        <v>64</v>
      </c>
      <c r="B7" s="17">
        <v>33</v>
      </c>
      <c r="C7" s="17">
        <v>33</v>
      </c>
      <c r="D7" s="17">
        <v>33</v>
      </c>
      <c r="E7" s="17">
        <v>33</v>
      </c>
      <c r="F7" s="17">
        <v>21</v>
      </c>
      <c r="G7" s="17">
        <v>21</v>
      </c>
      <c r="H7" s="17"/>
      <c r="I7" s="17">
        <f>SUM(B7:G7)</f>
        <v>174</v>
      </c>
    </row>
    <row r="8" spans="1:9" s="20" customFormat="1" ht="24" x14ac:dyDescent="0.2">
      <c r="A8" s="19" t="s">
        <v>75</v>
      </c>
      <c r="B8" s="16">
        <v>99</v>
      </c>
      <c r="C8" s="16">
        <v>99</v>
      </c>
      <c r="D8" s="16">
        <v>99</v>
      </c>
      <c r="E8" s="16">
        <v>99</v>
      </c>
      <c r="F8" s="16">
        <v>63</v>
      </c>
      <c r="G8" s="16">
        <v>63</v>
      </c>
      <c r="H8" s="16">
        <v>100</v>
      </c>
      <c r="I8" s="16">
        <f>SUM(B8:H8)</f>
        <v>622</v>
      </c>
    </row>
    <row r="11" spans="1:9" x14ac:dyDescent="0.2">
      <c r="A11" s="55" t="s">
        <v>76</v>
      </c>
      <c r="B11" s="55"/>
      <c r="C11" s="55"/>
      <c r="D11" s="55"/>
      <c r="E11" s="55"/>
    </row>
    <row r="12" spans="1:9" ht="36" x14ac:dyDescent="0.2">
      <c r="A12" s="56" t="s">
        <v>63</v>
      </c>
      <c r="B12" s="58" t="s">
        <v>65</v>
      </c>
      <c r="C12" s="59"/>
      <c r="D12" s="16" t="s">
        <v>78</v>
      </c>
      <c r="E12" s="16" t="s">
        <v>79</v>
      </c>
      <c r="F12" s="16" t="s">
        <v>73</v>
      </c>
      <c r="G12" s="16" t="s">
        <v>74</v>
      </c>
    </row>
    <row r="13" spans="1:9" x14ac:dyDescent="0.2">
      <c r="A13" s="57"/>
      <c r="B13" s="19" t="s">
        <v>77</v>
      </c>
      <c r="C13" s="19" t="s">
        <v>71</v>
      </c>
      <c r="D13" s="19"/>
      <c r="E13" s="19"/>
      <c r="F13" s="21"/>
      <c r="G13" s="21"/>
    </row>
    <row r="14" spans="1:9" x14ac:dyDescent="0.2">
      <c r="A14" s="19" t="s">
        <v>64</v>
      </c>
      <c r="B14" s="17">
        <v>33</v>
      </c>
      <c r="C14" s="17">
        <v>33</v>
      </c>
      <c r="D14" s="17">
        <v>8</v>
      </c>
      <c r="E14" s="17">
        <v>117</v>
      </c>
      <c r="F14" s="17"/>
      <c r="G14" s="17">
        <f>SUM(B14:E14)</f>
        <v>191</v>
      </c>
    </row>
    <row r="15" spans="1:9" ht="24" x14ac:dyDescent="0.2">
      <c r="A15" s="19" t="s">
        <v>75</v>
      </c>
      <c r="B15" s="16">
        <v>99</v>
      </c>
      <c r="C15" s="16">
        <v>99</v>
      </c>
      <c r="D15" s="16">
        <v>24</v>
      </c>
      <c r="E15" s="16">
        <f>3*117</f>
        <v>351</v>
      </c>
      <c r="F15" s="16">
        <v>100</v>
      </c>
      <c r="G15" s="16">
        <f>SUM(B15:F15)</f>
        <v>673</v>
      </c>
    </row>
  </sheetData>
  <mergeCells count="9">
    <mergeCell ref="F4:G4"/>
    <mergeCell ref="F5:G5"/>
    <mergeCell ref="H5:H6"/>
    <mergeCell ref="I5:I6"/>
    <mergeCell ref="A11:E11"/>
    <mergeCell ref="A12:A13"/>
    <mergeCell ref="B12:C12"/>
    <mergeCell ref="A4:A6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Foglio1 (2)</vt:lpstr>
      <vt:lpstr>Foglio2</vt:lpstr>
      <vt:lpstr>Foglio3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</dc:creator>
  <cp:lastModifiedBy>Matteo</cp:lastModifiedBy>
  <dcterms:created xsi:type="dcterms:W3CDTF">2021-05-31T10:34:42Z</dcterms:created>
  <dcterms:modified xsi:type="dcterms:W3CDTF">2021-06-01T19:43:35Z</dcterms:modified>
</cp:coreProperties>
</file>