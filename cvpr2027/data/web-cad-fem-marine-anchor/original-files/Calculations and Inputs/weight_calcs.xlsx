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2022\1600 JOBS\2022_1633\RSW\"/>
    </mc:Choice>
  </mc:AlternateContent>
  <xr:revisionPtr revIDLastSave="0" documentId="13_ncr:1_{F4D4FCDC-1713-48DA-9C4C-127F2EFA2D39}" xr6:coauthVersionLast="47" xr6:coauthVersionMax="47" xr10:uidLastSave="{00000000-0000-0000-0000-000000000000}"/>
  <bookViews>
    <workbookView xWindow="-120" yWindow="-120" windowWidth="29040" windowHeight="15840" xr2:uid="{F177F91F-2917-4A9F-A500-34A14F8D7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R5" i="1"/>
  <c r="P5" i="1"/>
  <c r="N5" i="1"/>
  <c r="S5" i="1" s="1"/>
  <c r="M5" i="1"/>
  <c r="J5" i="1"/>
  <c r="K5" i="1" s="1"/>
  <c r="L5" i="1" s="1"/>
  <c r="O5" i="1" s="1"/>
  <c r="T2" i="1"/>
  <c r="R2" i="1"/>
  <c r="M2" i="1"/>
  <c r="J2" i="1"/>
  <c r="K2" i="1" s="1"/>
  <c r="L2" i="1" s="1"/>
  <c r="O2" i="1" s="1"/>
  <c r="P2" i="1"/>
  <c r="Q5" i="1" l="1"/>
  <c r="V5" i="1" s="1"/>
  <c r="N2" i="1"/>
  <c r="S2" i="1" s="1"/>
  <c r="Q2" i="1" l="1"/>
  <c r="V2" i="1" s="1"/>
</calcChain>
</file>

<file path=xl/sharedStrings.xml><?xml version="1.0" encoding="utf-8"?>
<sst xmlns="http://schemas.openxmlformats.org/spreadsheetml/2006/main" count="32" uniqueCount="23">
  <si>
    <t>t_top</t>
  </si>
  <si>
    <t>t_skirt</t>
  </si>
  <si>
    <t>d_pile</t>
  </si>
  <si>
    <t>l_skirt</t>
  </si>
  <si>
    <t>d_anchor</t>
  </si>
  <si>
    <t>h_gusset</t>
  </si>
  <si>
    <t>t_gusset</t>
  </si>
  <si>
    <t>n_holes</t>
  </si>
  <si>
    <t>w_percent</t>
  </si>
  <si>
    <t>v_skirt</t>
  </si>
  <si>
    <t>arc</t>
  </si>
  <si>
    <t>theta</t>
  </si>
  <si>
    <t>chord</t>
  </si>
  <si>
    <t>Ga</t>
  </si>
  <si>
    <t>Gb</t>
  </si>
  <si>
    <t>Gc</t>
  </si>
  <si>
    <t>v_gussets</t>
  </si>
  <si>
    <t>v_top</t>
  </si>
  <si>
    <t>v_cut</t>
  </si>
  <si>
    <t>v_rings</t>
  </si>
  <si>
    <t>v_lug</t>
  </si>
  <si>
    <t>weight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</si>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</sst>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504E-69A1-4A38-9E83-707ED0D2407E}">
  <dimension ref="A1:V5"/>
  <sheetViews>
    <sheetView tabSelected="1" workbookViewId="0">
      <selection activeCell="U15" sqref="U15"/>
    </sheetView>
  </sheetViews>
  <sheetFormatPr defaultRowHeight="15" x14ac:dyDescent="0.25"/>
  <cols>
    <col min="9" max="9" width="9.85546875" bestFit="1" customWidth="1"/>
    <col min="10" max="15" width="9.85546875" customWidth="1"/>
    <col min="16" max="16" width="8.140625" customWidth="1"/>
    <col min="17" max="21" width="9.140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9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0.5</v>
      </c>
      <c r="B2">
        <v>0.5</v>
      </c>
      <c r="C2">
        <v>200</v>
      </c>
      <c r="D2">
        <v>200</v>
      </c>
      <c r="E2">
        <v>120</v>
      </c>
      <c r="F2">
        <v>8</v>
      </c>
      <c r="G2">
        <v>0.5</v>
      </c>
      <c r="H2">
        <v>8</v>
      </c>
      <c r="I2" s="1">
        <v>0.7</v>
      </c>
      <c r="J2" s="1">
        <f>360/H2</f>
        <v>45</v>
      </c>
      <c r="K2" s="1">
        <f>J2*(C2/8)</f>
        <v>1125</v>
      </c>
      <c r="L2" s="1">
        <f>C2*SIN(RADIANS(K2/C2))</f>
        <v>19.603428065912119</v>
      </c>
      <c r="M2" s="1">
        <f>E2/2</f>
        <v>60</v>
      </c>
      <c r="N2" s="1">
        <f>M2*(SIN(RADIANS(J2))/SIN(RADIANS(0.5*(180-J2))))</f>
        <v>45.922011883810768</v>
      </c>
      <c r="O2" s="1">
        <f>SQRT(L2^2 + (0.5*(C2-E2))^2)</f>
        <v>44.545419427090266</v>
      </c>
      <c r="P2">
        <f>0.25*PI()*(C2^2 - (C2-2*B2)^2)*(D2+F2)</f>
        <v>65181.764376681022</v>
      </c>
      <c r="Q2">
        <f>H2*(M2+N2+2*O2)*G2*F2</f>
        <v>6240.4112236157216</v>
      </c>
      <c r="R2">
        <f>(0.25*C2^2)*A2</f>
        <v>5000</v>
      </c>
      <c r="S2">
        <f>-I2*((N2/2)*SQRT(M2^2 - 0.25*N2^2))*A2*H2</f>
        <v>-3563.8181771801987</v>
      </c>
      <c r="T2">
        <f>(27.234+H2*5.484)*PI()*F2</f>
        <v>1787.0886978092465</v>
      </c>
      <c r="U2">
        <v>1387</v>
      </c>
      <c r="V2">
        <f>0.284*(U2+T2+S2+R2+Q2+P2)</f>
        <v>21593.214698342923</v>
      </c>
    </row>
    <row r="3" spans="1:22" x14ac:dyDescent="0.25">
      <c r="A3" t="s">
        <v>22</v>
      </c>
    </row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1:22" x14ac:dyDescent="0.25">
      <c r="A5">
        <v>0.5</v>
      </c>
      <c r="B5">
        <v>0.5</v>
      </c>
      <c r="C5">
        <v>144</v>
      </c>
      <c r="D5">
        <v>111.5</v>
      </c>
      <c r="E5">
        <v>110</v>
      </c>
      <c r="F5">
        <v>8</v>
      </c>
      <c r="G5">
        <v>0.75</v>
      </c>
      <c r="H5">
        <v>9</v>
      </c>
      <c r="I5">
        <v>0.3</v>
      </c>
      <c r="J5" s="1">
        <f>360/H5</f>
        <v>40</v>
      </c>
      <c r="K5" s="1">
        <f>J5*(C5/8)</f>
        <v>720</v>
      </c>
      <c r="L5" s="1">
        <f>C5*SIN(RADIANS(K5/C5))</f>
        <v>12.550426955662775</v>
      </c>
      <c r="M5" s="1">
        <f>E5/2</f>
        <v>55</v>
      </c>
      <c r="N5" s="1">
        <f>M5*(SIN(RADIANS(J5))/SIN(RADIANS(0.5*(180-J5))))</f>
        <v>37.622215765823562</v>
      </c>
      <c r="O5" s="1">
        <f>SQRT(L5^2 + (0.5*(C5-E5))^2)</f>
        <v>21.130859347632477</v>
      </c>
      <c r="P5">
        <f>0.25*PI()*(C5^2 - (C5-2*B5)^2)*(D5+F5)</f>
        <v>26936.408110960587</v>
      </c>
      <c r="Q5">
        <f>H5*(M5+N5+2*O5)*G5*F5</f>
        <v>7283.7324608987801</v>
      </c>
      <c r="R5">
        <f>(0.25*C5^2)*A5</f>
        <v>2592</v>
      </c>
      <c r="S5">
        <f>-I5*((N5/2)*SQRT(M5^2 - 0.25*N5^2))*A5*H5</f>
        <v>-1312.4919505287025</v>
      </c>
      <c r="T5">
        <f>(27.234+H5*5.484)*PI()*F5</f>
        <v>1924.9166507075381</v>
      </c>
      <c r="U5">
        <v>1387</v>
      </c>
      <c r="V5">
        <f>0.284*(U5+T5+S5+R5+Q5+P5)</f>
        <v>11022.48453725885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Williams</dc:creator>
  <cp:lastModifiedBy>Ryan Williams</cp:lastModifiedBy>
  <dcterms:created xsi:type="dcterms:W3CDTF">2025-01-27T16:05:43Z</dcterms:created>
  <dcterms:modified xsi:type="dcterms:W3CDTF">2025-01-27T17:12:48Z</dcterms:modified>
</cp:coreProperties>
</file>