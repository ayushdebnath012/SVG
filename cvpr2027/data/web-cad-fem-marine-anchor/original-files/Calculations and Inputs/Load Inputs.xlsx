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2\1600 JOBS\2022_1633\RSW\"/>
    </mc:Choice>
  </mc:AlternateContent>
  <xr:revisionPtr revIDLastSave="0" documentId="13_ncr:1_{1E853211-6413-4FB9-B8D7-AC5740644006}" xr6:coauthVersionLast="47" xr6:coauthVersionMax="47" xr10:uidLastSave="{00000000-0000-0000-0000-000000000000}"/>
  <bookViews>
    <workbookView xWindow="28680" yWindow="-120" windowWidth="29040" windowHeight="15840" activeTab="1" xr2:uid="{CBE1F271-344D-4E7C-807B-3714D4F21A07}"/>
  </bookViews>
  <sheets>
    <sheet name="Static Loads" sheetId="2" r:id="rId1"/>
    <sheet name="Sheet1" sheetId="4" r:id="rId2"/>
    <sheet name="Cyclic Loads" sheetId="1" r:id="rId3"/>
    <sheet name="Load-Disp" sheetId="3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F5" i="2"/>
  <c r="E5" i="2"/>
  <c r="F4" i="2"/>
  <c r="E4" i="2"/>
  <c r="F3" i="2"/>
  <c r="E3" i="2"/>
</calcChain>
</file>

<file path=xl/sharedStrings.xml><?xml version="1.0" encoding="utf-8"?>
<sst xmlns="http://schemas.openxmlformats.org/spreadsheetml/2006/main" count="24" uniqueCount="19">
  <si>
    <t>Mooring Line Load Cycles over 20 years</t>
  </si>
  <si>
    <t>Cycle Mean (kN)</t>
  </si>
  <si>
    <t>Cycle Range (kN)</t>
  </si>
  <si>
    <t>Zones</t>
  </si>
  <si>
    <t>Structural Element</t>
  </si>
  <si>
    <t>Displacement (m)</t>
  </si>
  <si>
    <t>Load (kN)</t>
  </si>
  <si>
    <t xml:space="preserve">SES Case No. </t>
  </si>
  <si>
    <t>Description</t>
  </si>
  <si>
    <t>Angle from Horizontal</t>
  </si>
  <si>
    <t>Load</t>
  </si>
  <si>
    <t>Horizontal Load</t>
  </si>
  <si>
    <t>Vertical Load</t>
  </si>
  <si>
    <t>[-]</t>
  </si>
  <si>
    <t>[deg]</t>
  </si>
  <si>
    <t>[kN]</t>
  </si>
  <si>
    <t>Horizontal Driver</t>
  </si>
  <si>
    <t>Vertical Driver</t>
  </si>
  <si>
    <t>Max Peak of Both, Unfactored Design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</si>
</sst>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 textRotation="180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7.2150918635170605E-2"/>
                  <c:y val="0.183368693496646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Sheet1!$E$6:$E$9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</c:numCache>
            </c:numRef>
          </c:xVal>
          <c:yVal>
            <c:numRef>
              <c:f>Sheet1!$D$6:$D$9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2C-44A0-A102-EC238A032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713888"/>
        <c:axId val="506752288"/>
      </c:scatterChart>
      <c:valAx>
        <c:axId val="50671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52288"/>
        <c:crosses val="autoZero"/>
        <c:crossBetween val="midCat"/>
      </c:valAx>
      <c:valAx>
        <c:axId val="5067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1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Mooring</a:t>
            </a:r>
            <a:r>
              <a:rPr lang="en-US" baseline="0"/>
              <a:t> Line Load Cycles over 20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[1]Sheet1!$C$5</c:f>
              <c:strCache>
                <c:ptCount val="1"/>
                <c:pt idx="0">
                  <c:v>120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[1]Sheet1!$C$6:$C$37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3-42BD-8B36-B4BEF676619A}"/>
            </c:ext>
          </c:extLst>
        </c:ser>
        <c:ser>
          <c:idx val="1"/>
          <c:order val="1"/>
          <c:tx>
            <c:strRef>
              <c:f>[1]Sheet1!$D$5</c:f>
              <c:strCache>
                <c:ptCount val="1"/>
                <c:pt idx="0">
                  <c:v>150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[1]Sheet1!$D$6:$D$37</c:f>
              <c:numCache>
                <c:formatCode>General</c:formatCode>
                <c:ptCount val="32"/>
                <c:pt idx="0">
                  <c:v>167840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3-42BD-8B36-B4BEF676619A}"/>
            </c:ext>
          </c:extLst>
        </c:ser>
        <c:ser>
          <c:idx val="2"/>
          <c:order val="2"/>
          <c:tx>
            <c:strRef>
              <c:f>[1]Sheet1!$E$5</c:f>
              <c:strCache>
                <c:ptCount val="1"/>
                <c:pt idx="0">
                  <c:v>180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[1]Sheet1!$E$6:$E$37</c:f>
              <c:numCache>
                <c:formatCode>General</c:formatCode>
                <c:ptCount val="32"/>
                <c:pt idx="0">
                  <c:v>49731400</c:v>
                </c:pt>
                <c:pt idx="1">
                  <c:v>162200</c:v>
                </c:pt>
                <c:pt idx="2">
                  <c:v>23320</c:v>
                </c:pt>
                <c:pt idx="3">
                  <c:v>7400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3-42BD-8B36-B4BEF676619A}"/>
            </c:ext>
          </c:extLst>
        </c:ser>
        <c:ser>
          <c:idx val="3"/>
          <c:order val="3"/>
          <c:tx>
            <c:strRef>
              <c:f>[1]Sheet1!$F$5</c:f>
              <c:strCache>
                <c:ptCount val="1"/>
                <c:pt idx="0">
                  <c:v>210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[1]Sheet1!$F$6:$F$37</c:f>
              <c:numCache>
                <c:formatCode>General</c:formatCode>
                <c:ptCount val="32"/>
                <c:pt idx="0">
                  <c:v>13391520</c:v>
                </c:pt>
                <c:pt idx="1">
                  <c:v>373680</c:v>
                </c:pt>
                <c:pt idx="2">
                  <c:v>109760</c:v>
                </c:pt>
                <c:pt idx="3">
                  <c:v>51440</c:v>
                </c:pt>
                <c:pt idx="4">
                  <c:v>13360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63-42BD-8B36-B4BEF676619A}"/>
            </c:ext>
          </c:extLst>
        </c:ser>
        <c:ser>
          <c:idx val="4"/>
          <c:order val="4"/>
          <c:tx>
            <c:strRef>
              <c:f>[1]Sheet1!$G$5</c:f>
              <c:strCache>
                <c:ptCount val="1"/>
                <c:pt idx="0">
                  <c:v>240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[1]Sheet1!$G$6:$G$37</c:f>
              <c:numCache>
                <c:formatCode>General</c:formatCode>
                <c:ptCount val="32"/>
                <c:pt idx="0">
                  <c:v>365920</c:v>
                </c:pt>
                <c:pt idx="1">
                  <c:v>75280</c:v>
                </c:pt>
                <c:pt idx="2">
                  <c:v>45480</c:v>
                </c:pt>
                <c:pt idx="3">
                  <c:v>34160</c:v>
                </c:pt>
                <c:pt idx="4">
                  <c:v>30360</c:v>
                </c:pt>
                <c:pt idx="5">
                  <c:v>22240</c:v>
                </c:pt>
                <c:pt idx="6">
                  <c:v>23440</c:v>
                </c:pt>
                <c:pt idx="7">
                  <c:v>23360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63-42BD-8B36-B4BEF676619A}"/>
            </c:ext>
          </c:extLst>
        </c:ser>
        <c:ser>
          <c:idx val="5"/>
          <c:order val="5"/>
          <c:tx>
            <c:strRef>
              <c:f>[1]Sheet1!$H$5</c:f>
              <c:strCache>
                <c:ptCount val="1"/>
                <c:pt idx="0">
                  <c:v>270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[1]Sheet1!$H$6:$H$37</c:f>
              <c:numCache>
                <c:formatCode>General</c:formatCode>
                <c:ptCount val="32"/>
                <c:pt idx="0">
                  <c:v>282000</c:v>
                </c:pt>
                <c:pt idx="1">
                  <c:v>130960</c:v>
                </c:pt>
                <c:pt idx="2">
                  <c:v>71760</c:v>
                </c:pt>
                <c:pt idx="3">
                  <c:v>20200</c:v>
                </c:pt>
                <c:pt idx="4">
                  <c:v>32400</c:v>
                </c:pt>
                <c:pt idx="5">
                  <c:v>14800</c:v>
                </c:pt>
                <c:pt idx="6">
                  <c:v>27480</c:v>
                </c:pt>
                <c:pt idx="7">
                  <c:v>54520</c:v>
                </c:pt>
                <c:pt idx="8">
                  <c:v>13160</c:v>
                </c:pt>
                <c:pt idx="9">
                  <c:v>11000</c:v>
                </c:pt>
                <c:pt idx="10">
                  <c:v>3520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63-42BD-8B36-B4BEF676619A}"/>
            </c:ext>
          </c:extLst>
        </c:ser>
        <c:ser>
          <c:idx val="6"/>
          <c:order val="6"/>
          <c:tx>
            <c:strRef>
              <c:f>[1]Sheet1!$I$5</c:f>
              <c:strCache>
                <c:ptCount val="1"/>
                <c:pt idx="0">
                  <c:v>300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[1]Sheet1!$I$6:$I$37</c:f>
              <c:numCache>
                <c:formatCode>General</c:formatCode>
                <c:ptCount val="32"/>
                <c:pt idx="0">
                  <c:v>435800</c:v>
                </c:pt>
                <c:pt idx="1">
                  <c:v>89000</c:v>
                </c:pt>
                <c:pt idx="2">
                  <c:v>91440</c:v>
                </c:pt>
                <c:pt idx="3">
                  <c:v>144120</c:v>
                </c:pt>
                <c:pt idx="4">
                  <c:v>77600</c:v>
                </c:pt>
                <c:pt idx="5">
                  <c:v>95440</c:v>
                </c:pt>
                <c:pt idx="6">
                  <c:v>81200</c:v>
                </c:pt>
                <c:pt idx="7">
                  <c:v>30560</c:v>
                </c:pt>
                <c:pt idx="8">
                  <c:v>60680</c:v>
                </c:pt>
                <c:pt idx="9">
                  <c:v>54080</c:v>
                </c:pt>
                <c:pt idx="10">
                  <c:v>49760</c:v>
                </c:pt>
                <c:pt idx="11">
                  <c:v>70440</c:v>
                </c:pt>
                <c:pt idx="12">
                  <c:v>11640</c:v>
                </c:pt>
                <c:pt idx="13">
                  <c:v>11800</c:v>
                </c:pt>
                <c:pt idx="14">
                  <c:v>1640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63-42BD-8B36-B4BEF676619A}"/>
            </c:ext>
          </c:extLst>
        </c:ser>
        <c:ser>
          <c:idx val="7"/>
          <c:order val="7"/>
          <c:tx>
            <c:strRef>
              <c:f>[1]Sheet1!$J$5</c:f>
              <c:strCache>
                <c:ptCount val="1"/>
                <c:pt idx="0">
                  <c:v>330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[1]Sheet1!$J$6:$J$37</c:f>
              <c:numCache>
                <c:formatCode>General</c:formatCode>
                <c:ptCount val="32"/>
                <c:pt idx="0">
                  <c:v>530880</c:v>
                </c:pt>
                <c:pt idx="1">
                  <c:v>242520</c:v>
                </c:pt>
                <c:pt idx="2">
                  <c:v>218520</c:v>
                </c:pt>
                <c:pt idx="3">
                  <c:v>151000</c:v>
                </c:pt>
                <c:pt idx="4">
                  <c:v>149880</c:v>
                </c:pt>
                <c:pt idx="5">
                  <c:v>147600</c:v>
                </c:pt>
                <c:pt idx="6">
                  <c:v>134320</c:v>
                </c:pt>
                <c:pt idx="7">
                  <c:v>84360</c:v>
                </c:pt>
                <c:pt idx="8">
                  <c:v>55680</c:v>
                </c:pt>
                <c:pt idx="9">
                  <c:v>78880</c:v>
                </c:pt>
                <c:pt idx="10">
                  <c:v>64120</c:v>
                </c:pt>
                <c:pt idx="11">
                  <c:v>106600</c:v>
                </c:pt>
                <c:pt idx="12">
                  <c:v>79600</c:v>
                </c:pt>
                <c:pt idx="13">
                  <c:v>133960</c:v>
                </c:pt>
                <c:pt idx="14">
                  <c:v>68120</c:v>
                </c:pt>
                <c:pt idx="15">
                  <c:v>59040</c:v>
                </c:pt>
                <c:pt idx="16">
                  <c:v>37880</c:v>
                </c:pt>
                <c:pt idx="17">
                  <c:v>800</c:v>
                </c:pt>
                <c:pt idx="18">
                  <c:v>5640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63-42BD-8B36-B4BEF676619A}"/>
            </c:ext>
          </c:extLst>
        </c:ser>
        <c:ser>
          <c:idx val="8"/>
          <c:order val="8"/>
          <c:tx>
            <c:strRef>
              <c:f>[1]Sheet1!$K$5</c:f>
              <c:strCache>
                <c:ptCount val="1"/>
                <c:pt idx="0">
                  <c:v>360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[1]Sheet1!$K$6:$K$37</c:f>
              <c:numCache>
                <c:formatCode>General</c:formatCode>
                <c:ptCount val="32"/>
                <c:pt idx="0">
                  <c:v>766440</c:v>
                </c:pt>
                <c:pt idx="1">
                  <c:v>380840</c:v>
                </c:pt>
                <c:pt idx="2">
                  <c:v>368360</c:v>
                </c:pt>
                <c:pt idx="3">
                  <c:v>267360</c:v>
                </c:pt>
                <c:pt idx="4">
                  <c:v>244480</c:v>
                </c:pt>
                <c:pt idx="5">
                  <c:v>299200</c:v>
                </c:pt>
                <c:pt idx="6">
                  <c:v>211720</c:v>
                </c:pt>
                <c:pt idx="7">
                  <c:v>275200</c:v>
                </c:pt>
                <c:pt idx="8">
                  <c:v>203480</c:v>
                </c:pt>
                <c:pt idx="9">
                  <c:v>218440</c:v>
                </c:pt>
                <c:pt idx="10">
                  <c:v>278160</c:v>
                </c:pt>
                <c:pt idx="11">
                  <c:v>260640</c:v>
                </c:pt>
                <c:pt idx="12">
                  <c:v>227120</c:v>
                </c:pt>
                <c:pt idx="13">
                  <c:v>341440</c:v>
                </c:pt>
                <c:pt idx="14">
                  <c:v>314840</c:v>
                </c:pt>
                <c:pt idx="15">
                  <c:v>310120</c:v>
                </c:pt>
                <c:pt idx="16">
                  <c:v>443360</c:v>
                </c:pt>
                <c:pt idx="17">
                  <c:v>574920</c:v>
                </c:pt>
                <c:pt idx="18">
                  <c:v>705160</c:v>
                </c:pt>
                <c:pt idx="19">
                  <c:v>310320</c:v>
                </c:pt>
                <c:pt idx="20">
                  <c:v>4880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63-42BD-8B36-B4BEF676619A}"/>
            </c:ext>
          </c:extLst>
        </c:ser>
        <c:ser>
          <c:idx val="9"/>
          <c:order val="9"/>
          <c:tx>
            <c:strRef>
              <c:f>[1]Sheet1!$L$5</c:f>
              <c:strCache>
                <c:ptCount val="1"/>
                <c:pt idx="0">
                  <c:v>390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[1]Sheet1!$L$6:$L$37</c:f>
              <c:numCache>
                <c:formatCode>General</c:formatCode>
                <c:ptCount val="32"/>
                <c:pt idx="0">
                  <c:v>909280</c:v>
                </c:pt>
                <c:pt idx="1">
                  <c:v>576440</c:v>
                </c:pt>
                <c:pt idx="2">
                  <c:v>340560</c:v>
                </c:pt>
                <c:pt idx="3">
                  <c:v>542760</c:v>
                </c:pt>
                <c:pt idx="4">
                  <c:v>506040</c:v>
                </c:pt>
                <c:pt idx="5">
                  <c:v>604200</c:v>
                </c:pt>
                <c:pt idx="6">
                  <c:v>716440</c:v>
                </c:pt>
                <c:pt idx="7">
                  <c:v>471880</c:v>
                </c:pt>
                <c:pt idx="8">
                  <c:v>591640</c:v>
                </c:pt>
                <c:pt idx="9">
                  <c:v>721240</c:v>
                </c:pt>
                <c:pt idx="10">
                  <c:v>778320</c:v>
                </c:pt>
                <c:pt idx="11">
                  <c:v>982200</c:v>
                </c:pt>
                <c:pt idx="12">
                  <c:v>853680</c:v>
                </c:pt>
                <c:pt idx="13">
                  <c:v>812800</c:v>
                </c:pt>
                <c:pt idx="14">
                  <c:v>738720</c:v>
                </c:pt>
                <c:pt idx="15">
                  <c:v>991960</c:v>
                </c:pt>
                <c:pt idx="16">
                  <c:v>704920</c:v>
                </c:pt>
                <c:pt idx="17">
                  <c:v>741600</c:v>
                </c:pt>
                <c:pt idx="18">
                  <c:v>1005240</c:v>
                </c:pt>
                <c:pt idx="19">
                  <c:v>1392960</c:v>
                </c:pt>
                <c:pt idx="20">
                  <c:v>2136600</c:v>
                </c:pt>
                <c:pt idx="21">
                  <c:v>1676800</c:v>
                </c:pt>
                <c:pt idx="22">
                  <c:v>651000</c:v>
                </c:pt>
                <c:pt idx="23">
                  <c:v>30440</c:v>
                </c:pt>
                <c:pt idx="24">
                  <c:v>7440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63-42BD-8B36-B4BEF676619A}"/>
            </c:ext>
          </c:extLst>
        </c:ser>
        <c:ser>
          <c:idx val="10"/>
          <c:order val="10"/>
          <c:tx>
            <c:strRef>
              <c:f>[1]Sheet1!$M$5</c:f>
              <c:strCache>
                <c:ptCount val="1"/>
                <c:pt idx="0">
                  <c:v>420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[1]Sheet1!$M$6:$M$37</c:f>
              <c:numCache>
                <c:formatCode>General</c:formatCode>
                <c:ptCount val="32"/>
                <c:pt idx="0">
                  <c:v>955720</c:v>
                </c:pt>
                <c:pt idx="1">
                  <c:v>389640</c:v>
                </c:pt>
                <c:pt idx="2">
                  <c:v>588720</c:v>
                </c:pt>
                <c:pt idx="3">
                  <c:v>572680</c:v>
                </c:pt>
                <c:pt idx="4">
                  <c:v>366040</c:v>
                </c:pt>
                <c:pt idx="5">
                  <c:v>410840</c:v>
                </c:pt>
                <c:pt idx="6">
                  <c:v>428440</c:v>
                </c:pt>
                <c:pt idx="7">
                  <c:v>371080</c:v>
                </c:pt>
                <c:pt idx="8">
                  <c:v>482680</c:v>
                </c:pt>
                <c:pt idx="9">
                  <c:v>613280</c:v>
                </c:pt>
                <c:pt idx="10">
                  <c:v>567800</c:v>
                </c:pt>
                <c:pt idx="11">
                  <c:v>666640</c:v>
                </c:pt>
                <c:pt idx="12">
                  <c:v>675360</c:v>
                </c:pt>
                <c:pt idx="13">
                  <c:v>718640</c:v>
                </c:pt>
                <c:pt idx="14">
                  <c:v>695360</c:v>
                </c:pt>
                <c:pt idx="15">
                  <c:v>809800</c:v>
                </c:pt>
                <c:pt idx="16">
                  <c:v>612880</c:v>
                </c:pt>
                <c:pt idx="17">
                  <c:v>569800</c:v>
                </c:pt>
                <c:pt idx="18">
                  <c:v>625120</c:v>
                </c:pt>
                <c:pt idx="19">
                  <c:v>762080</c:v>
                </c:pt>
                <c:pt idx="20">
                  <c:v>811080</c:v>
                </c:pt>
                <c:pt idx="21">
                  <c:v>902320</c:v>
                </c:pt>
                <c:pt idx="22">
                  <c:v>2113240</c:v>
                </c:pt>
                <c:pt idx="23">
                  <c:v>5024960</c:v>
                </c:pt>
                <c:pt idx="24">
                  <c:v>12433360</c:v>
                </c:pt>
                <c:pt idx="25">
                  <c:v>12468040</c:v>
                </c:pt>
                <c:pt idx="26">
                  <c:v>2401280</c:v>
                </c:pt>
                <c:pt idx="27">
                  <c:v>285160</c:v>
                </c:pt>
                <c:pt idx="28">
                  <c:v>17600</c:v>
                </c:pt>
                <c:pt idx="29">
                  <c:v>2320</c:v>
                </c:pt>
                <c:pt idx="30">
                  <c:v>40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63-42BD-8B36-B4BEF676619A}"/>
            </c:ext>
          </c:extLst>
        </c:ser>
        <c:ser>
          <c:idx val="11"/>
          <c:order val="11"/>
          <c:tx>
            <c:strRef>
              <c:f>[1]Sheet1!$N$5</c:f>
              <c:strCache>
                <c:ptCount val="1"/>
                <c:pt idx="0">
                  <c:v>450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[1]Sheet1!$N$6:$N$37</c:f>
              <c:numCache>
                <c:formatCode>General</c:formatCode>
                <c:ptCount val="32"/>
                <c:pt idx="0">
                  <c:v>778560</c:v>
                </c:pt>
                <c:pt idx="1">
                  <c:v>290640</c:v>
                </c:pt>
                <c:pt idx="2">
                  <c:v>187720</c:v>
                </c:pt>
                <c:pt idx="3">
                  <c:v>274080</c:v>
                </c:pt>
                <c:pt idx="4">
                  <c:v>194800</c:v>
                </c:pt>
                <c:pt idx="5">
                  <c:v>170680</c:v>
                </c:pt>
                <c:pt idx="6">
                  <c:v>133160</c:v>
                </c:pt>
                <c:pt idx="7">
                  <c:v>155240</c:v>
                </c:pt>
                <c:pt idx="8">
                  <c:v>114720</c:v>
                </c:pt>
                <c:pt idx="9">
                  <c:v>159160</c:v>
                </c:pt>
                <c:pt idx="10">
                  <c:v>165560</c:v>
                </c:pt>
                <c:pt idx="11">
                  <c:v>79160</c:v>
                </c:pt>
                <c:pt idx="12">
                  <c:v>85840</c:v>
                </c:pt>
                <c:pt idx="13">
                  <c:v>134600</c:v>
                </c:pt>
                <c:pt idx="14">
                  <c:v>216720</c:v>
                </c:pt>
                <c:pt idx="15">
                  <c:v>202240</c:v>
                </c:pt>
                <c:pt idx="16">
                  <c:v>253480</c:v>
                </c:pt>
                <c:pt idx="17">
                  <c:v>143720</c:v>
                </c:pt>
                <c:pt idx="18">
                  <c:v>223800</c:v>
                </c:pt>
                <c:pt idx="19">
                  <c:v>157200</c:v>
                </c:pt>
                <c:pt idx="20">
                  <c:v>311120</c:v>
                </c:pt>
                <c:pt idx="21">
                  <c:v>339920</c:v>
                </c:pt>
                <c:pt idx="22">
                  <c:v>531280</c:v>
                </c:pt>
                <c:pt idx="23">
                  <c:v>423800</c:v>
                </c:pt>
                <c:pt idx="24">
                  <c:v>472080</c:v>
                </c:pt>
                <c:pt idx="25">
                  <c:v>454160</c:v>
                </c:pt>
                <c:pt idx="26">
                  <c:v>332680</c:v>
                </c:pt>
                <c:pt idx="27">
                  <c:v>215240</c:v>
                </c:pt>
                <c:pt idx="28">
                  <c:v>73120</c:v>
                </c:pt>
                <c:pt idx="29">
                  <c:v>16840</c:v>
                </c:pt>
                <c:pt idx="30">
                  <c:v>160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63-42BD-8B36-B4BEF676619A}"/>
            </c:ext>
          </c:extLst>
        </c:ser>
        <c:ser>
          <c:idx val="12"/>
          <c:order val="12"/>
          <c:tx>
            <c:strRef>
              <c:f>[1]Sheet1!$O$5</c:f>
              <c:strCache>
                <c:ptCount val="1"/>
                <c:pt idx="0">
                  <c:v>480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[1]Sheet1!$O$6:$O$37</c:f>
              <c:numCache>
                <c:formatCode>General</c:formatCode>
                <c:ptCount val="32"/>
                <c:pt idx="0">
                  <c:v>379640</c:v>
                </c:pt>
                <c:pt idx="1">
                  <c:v>213480</c:v>
                </c:pt>
                <c:pt idx="2">
                  <c:v>173520</c:v>
                </c:pt>
                <c:pt idx="3">
                  <c:v>88680</c:v>
                </c:pt>
                <c:pt idx="4">
                  <c:v>88840</c:v>
                </c:pt>
                <c:pt idx="5">
                  <c:v>44600</c:v>
                </c:pt>
                <c:pt idx="6">
                  <c:v>97800</c:v>
                </c:pt>
                <c:pt idx="7">
                  <c:v>72520</c:v>
                </c:pt>
                <c:pt idx="8">
                  <c:v>55240</c:v>
                </c:pt>
                <c:pt idx="9">
                  <c:v>26360</c:v>
                </c:pt>
                <c:pt idx="10">
                  <c:v>19600</c:v>
                </c:pt>
                <c:pt idx="11">
                  <c:v>13480</c:v>
                </c:pt>
                <c:pt idx="12">
                  <c:v>57160</c:v>
                </c:pt>
                <c:pt idx="13">
                  <c:v>43720</c:v>
                </c:pt>
                <c:pt idx="14">
                  <c:v>13080</c:v>
                </c:pt>
                <c:pt idx="15">
                  <c:v>65720</c:v>
                </c:pt>
                <c:pt idx="16">
                  <c:v>36720</c:v>
                </c:pt>
                <c:pt idx="17">
                  <c:v>25320</c:v>
                </c:pt>
                <c:pt idx="18">
                  <c:v>20080</c:v>
                </c:pt>
                <c:pt idx="19">
                  <c:v>29480</c:v>
                </c:pt>
                <c:pt idx="20">
                  <c:v>46640</c:v>
                </c:pt>
                <c:pt idx="21">
                  <c:v>15600</c:v>
                </c:pt>
                <c:pt idx="22">
                  <c:v>600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63-42BD-8B36-B4BEF676619A}"/>
            </c:ext>
          </c:extLst>
        </c:ser>
        <c:ser>
          <c:idx val="13"/>
          <c:order val="13"/>
          <c:tx>
            <c:strRef>
              <c:f>[1]Sheet1!$P$5</c:f>
              <c:strCache>
                <c:ptCount val="1"/>
                <c:pt idx="0">
                  <c:v>510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[1]Sheet1!$P$6:$P$37</c:f>
              <c:numCache>
                <c:formatCode>General</c:formatCode>
                <c:ptCount val="32"/>
                <c:pt idx="0">
                  <c:v>371920</c:v>
                </c:pt>
                <c:pt idx="1">
                  <c:v>155000</c:v>
                </c:pt>
                <c:pt idx="2">
                  <c:v>65080</c:v>
                </c:pt>
                <c:pt idx="3">
                  <c:v>105920</c:v>
                </c:pt>
                <c:pt idx="4">
                  <c:v>34920</c:v>
                </c:pt>
                <c:pt idx="5">
                  <c:v>33840</c:v>
                </c:pt>
                <c:pt idx="6">
                  <c:v>41920</c:v>
                </c:pt>
                <c:pt idx="7">
                  <c:v>15960</c:v>
                </c:pt>
                <c:pt idx="8">
                  <c:v>29360</c:v>
                </c:pt>
                <c:pt idx="9">
                  <c:v>6240</c:v>
                </c:pt>
                <c:pt idx="10">
                  <c:v>960</c:v>
                </c:pt>
                <c:pt idx="11">
                  <c:v>2120</c:v>
                </c:pt>
                <c:pt idx="12">
                  <c:v>1600</c:v>
                </c:pt>
                <c:pt idx="13">
                  <c:v>10880</c:v>
                </c:pt>
                <c:pt idx="14">
                  <c:v>11400</c:v>
                </c:pt>
                <c:pt idx="15">
                  <c:v>7720</c:v>
                </c:pt>
                <c:pt idx="16">
                  <c:v>3200</c:v>
                </c:pt>
                <c:pt idx="17">
                  <c:v>1920</c:v>
                </c:pt>
                <c:pt idx="18">
                  <c:v>120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63-42BD-8B36-B4BEF676619A}"/>
            </c:ext>
          </c:extLst>
        </c:ser>
        <c:ser>
          <c:idx val="14"/>
          <c:order val="14"/>
          <c:tx>
            <c:strRef>
              <c:f>[1]Sheet1!$Q$5</c:f>
              <c:strCache>
                <c:ptCount val="1"/>
                <c:pt idx="0">
                  <c:v>540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[1]Sheet1!$Q$6:$Q$37</c:f>
              <c:numCache>
                <c:formatCode>General</c:formatCode>
                <c:ptCount val="32"/>
                <c:pt idx="0">
                  <c:v>236320</c:v>
                </c:pt>
                <c:pt idx="1">
                  <c:v>41160</c:v>
                </c:pt>
                <c:pt idx="2">
                  <c:v>62160</c:v>
                </c:pt>
                <c:pt idx="3">
                  <c:v>19520</c:v>
                </c:pt>
                <c:pt idx="4">
                  <c:v>26640</c:v>
                </c:pt>
                <c:pt idx="5">
                  <c:v>3640</c:v>
                </c:pt>
                <c:pt idx="6">
                  <c:v>11640</c:v>
                </c:pt>
                <c:pt idx="7">
                  <c:v>7640</c:v>
                </c:pt>
                <c:pt idx="8">
                  <c:v>24760</c:v>
                </c:pt>
                <c:pt idx="9">
                  <c:v>6560</c:v>
                </c:pt>
                <c:pt idx="10">
                  <c:v>8840</c:v>
                </c:pt>
                <c:pt idx="11">
                  <c:v>5520</c:v>
                </c:pt>
                <c:pt idx="12">
                  <c:v>10600</c:v>
                </c:pt>
                <c:pt idx="13">
                  <c:v>4000</c:v>
                </c:pt>
                <c:pt idx="14">
                  <c:v>2320</c:v>
                </c:pt>
                <c:pt idx="15">
                  <c:v>16960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63-42BD-8B36-B4BEF676619A}"/>
            </c:ext>
          </c:extLst>
        </c:ser>
        <c:ser>
          <c:idx val="15"/>
          <c:order val="15"/>
          <c:tx>
            <c:strRef>
              <c:f>[1]Sheet1!$R$5</c:f>
              <c:strCache>
                <c:ptCount val="1"/>
                <c:pt idx="0">
                  <c:v>570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[1]Sheet1!$R$6:$R$37</c:f>
              <c:numCache>
                <c:formatCode>General</c:formatCode>
                <c:ptCount val="32"/>
                <c:pt idx="0">
                  <c:v>223720</c:v>
                </c:pt>
                <c:pt idx="1">
                  <c:v>20720</c:v>
                </c:pt>
                <c:pt idx="2">
                  <c:v>66920</c:v>
                </c:pt>
                <c:pt idx="3">
                  <c:v>5240</c:v>
                </c:pt>
                <c:pt idx="4">
                  <c:v>2480</c:v>
                </c:pt>
                <c:pt idx="5">
                  <c:v>8120</c:v>
                </c:pt>
                <c:pt idx="6">
                  <c:v>1680</c:v>
                </c:pt>
                <c:pt idx="7">
                  <c:v>3120</c:v>
                </c:pt>
                <c:pt idx="8">
                  <c:v>2520</c:v>
                </c:pt>
                <c:pt idx="9">
                  <c:v>11000</c:v>
                </c:pt>
                <c:pt idx="10">
                  <c:v>6880</c:v>
                </c:pt>
                <c:pt idx="11">
                  <c:v>4520</c:v>
                </c:pt>
                <c:pt idx="12">
                  <c:v>1120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563-42BD-8B36-B4BEF676619A}"/>
            </c:ext>
          </c:extLst>
        </c:ser>
        <c:ser>
          <c:idx val="16"/>
          <c:order val="16"/>
          <c:tx>
            <c:strRef>
              <c:f>[1]Sheet1!$S$5</c:f>
              <c:strCache>
                <c:ptCount val="1"/>
                <c:pt idx="0">
                  <c:v>600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[1]Sheet1!$S$6:$S$37</c:f>
              <c:numCache>
                <c:formatCode>General</c:formatCode>
                <c:ptCount val="32"/>
                <c:pt idx="0">
                  <c:v>139920</c:v>
                </c:pt>
                <c:pt idx="1">
                  <c:v>49080</c:v>
                </c:pt>
                <c:pt idx="2">
                  <c:v>13600</c:v>
                </c:pt>
                <c:pt idx="3">
                  <c:v>5040</c:v>
                </c:pt>
                <c:pt idx="4">
                  <c:v>1160</c:v>
                </c:pt>
                <c:pt idx="5">
                  <c:v>13000</c:v>
                </c:pt>
                <c:pt idx="6">
                  <c:v>680</c:v>
                </c:pt>
                <c:pt idx="7">
                  <c:v>1320</c:v>
                </c:pt>
                <c:pt idx="8">
                  <c:v>3520</c:v>
                </c:pt>
                <c:pt idx="9">
                  <c:v>1320</c:v>
                </c:pt>
                <c:pt idx="10">
                  <c:v>0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563-42BD-8B36-B4BEF676619A}"/>
            </c:ext>
          </c:extLst>
        </c:ser>
        <c:ser>
          <c:idx val="17"/>
          <c:order val="17"/>
          <c:tx>
            <c:strRef>
              <c:f>[1]Sheet1!$T$5</c:f>
              <c:strCache>
                <c:ptCount val="1"/>
                <c:pt idx="0">
                  <c:v>630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[1]Sheet1!$T$6:$T$37</c:f>
              <c:numCache>
                <c:formatCode>General</c:formatCode>
                <c:ptCount val="32"/>
                <c:pt idx="0">
                  <c:v>2146640</c:v>
                </c:pt>
                <c:pt idx="1">
                  <c:v>913120</c:v>
                </c:pt>
                <c:pt idx="2">
                  <c:v>102040</c:v>
                </c:pt>
                <c:pt idx="3">
                  <c:v>25480</c:v>
                </c:pt>
                <c:pt idx="4">
                  <c:v>7200</c:v>
                </c:pt>
                <c:pt idx="5">
                  <c:v>4560</c:v>
                </c:pt>
                <c:pt idx="6">
                  <c:v>40</c:v>
                </c:pt>
                <c:pt idx="7">
                  <c:v>360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563-42BD-8B36-B4BEF676619A}"/>
            </c:ext>
          </c:extLst>
        </c:ser>
        <c:ser>
          <c:idx val="18"/>
          <c:order val="18"/>
          <c:tx>
            <c:strRef>
              <c:f>[1]Sheet1!$U$5</c:f>
              <c:strCache>
                <c:ptCount val="1"/>
                <c:pt idx="0">
                  <c:v>660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[1]Sheet1!$U$6:$U$37</c:f>
              <c:numCache>
                <c:formatCode>General</c:formatCode>
                <c:ptCount val="32"/>
                <c:pt idx="0">
                  <c:v>31984880</c:v>
                </c:pt>
                <c:pt idx="1">
                  <c:v>4227520</c:v>
                </c:pt>
                <c:pt idx="2">
                  <c:v>153200</c:v>
                </c:pt>
                <c:pt idx="3">
                  <c:v>37120</c:v>
                </c:pt>
                <c:pt idx="4">
                  <c:v>3240</c:v>
                </c:pt>
                <c:pt idx="5">
                  <c:v>880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563-42BD-8B36-B4BEF676619A}"/>
            </c:ext>
          </c:extLst>
        </c:ser>
        <c:ser>
          <c:idx val="19"/>
          <c:order val="19"/>
          <c:tx>
            <c:strRef>
              <c:f>[1]Sheet1!$V$5</c:f>
              <c:strCache>
                <c:ptCount val="1"/>
                <c:pt idx="0">
                  <c:v>690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[1]Sheet1!$V$6:$V$37</c:f>
              <c:numCache>
                <c:formatCode>General</c:formatCode>
                <c:ptCount val="32"/>
                <c:pt idx="0">
                  <c:v>9172040</c:v>
                </c:pt>
                <c:pt idx="1">
                  <c:v>647680</c:v>
                </c:pt>
                <c:pt idx="2">
                  <c:v>14160</c:v>
                </c:pt>
                <c:pt idx="3">
                  <c:v>2280</c:v>
                </c:pt>
                <c:pt idx="4">
                  <c:v>0</c:v>
                </c:pt>
                <c:pt idx="5">
                  <c:v>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563-42BD-8B36-B4BEF676619A}"/>
            </c:ext>
          </c:extLst>
        </c:ser>
        <c:ser>
          <c:idx val="20"/>
          <c:order val="20"/>
          <c:tx>
            <c:strRef>
              <c:f>[1]Sheet1!$W$5</c:f>
              <c:strCache>
                <c:ptCount val="1"/>
                <c:pt idx="0">
                  <c:v>720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[1]Sheet1!$W$6:$W$37</c:f>
              <c:numCache>
                <c:formatCode>General</c:formatCode>
                <c:ptCount val="32"/>
                <c:pt idx="0">
                  <c:v>204560</c:v>
                </c:pt>
                <c:pt idx="1">
                  <c:v>13840</c:v>
                </c:pt>
                <c:pt idx="2">
                  <c:v>1040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563-42BD-8B36-B4BEF676619A}"/>
            </c:ext>
          </c:extLst>
        </c:ser>
        <c:ser>
          <c:idx val="21"/>
          <c:order val="21"/>
          <c:tx>
            <c:strRef>
              <c:f>[1]Sheet1!$X$5</c:f>
              <c:strCache>
                <c:ptCount val="1"/>
                <c:pt idx="0">
                  <c:v>750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[1]Sheet1!$X$6:$X$37</c:f>
              <c:numCache>
                <c:formatCode>General</c:formatCode>
                <c:ptCount val="32"/>
                <c:pt idx="0">
                  <c:v>120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63-42BD-8B36-B4BEF676619A}"/>
            </c:ext>
          </c:extLst>
        </c:ser>
        <c:ser>
          <c:idx val="22"/>
          <c:order val="22"/>
          <c:tx>
            <c:strRef>
              <c:f>[1]Sheet1!$Y$5</c:f>
              <c:strCache>
                <c:ptCount val="1"/>
                <c:pt idx="0">
                  <c:v>780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cat>
            <c:numRef>
              <c:f>[1]Sheet1!$B$6:$B$37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[1]Sheet1!$Y$6:$Y$37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563-42BD-8B36-B4BEF676619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49878607"/>
        <c:axId val="476841152"/>
        <c:axId val="519380560"/>
      </c:surface3DChart>
      <c:catAx>
        <c:axId val="24987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Cycle</a:t>
                </a:r>
                <a:r>
                  <a:rPr lang="en-US" baseline="0"/>
                  <a:t> Range (kN)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41152"/>
        <c:crosses val="autoZero"/>
        <c:auto val="1"/>
        <c:lblAlgn val="ctr"/>
        <c:lblOffset val="100"/>
        <c:noMultiLvlLbl val="0"/>
      </c:catAx>
      <c:valAx>
        <c:axId val="4768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78607"/>
        <c:crosses val="autoZero"/>
        <c:crossBetween val="midCat"/>
      </c:valAx>
      <c:serAx>
        <c:axId val="519380560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Cycle Mean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41152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03937007874015"/>
          <c:y val="5.0925925925925923E-2"/>
          <c:w val="0.73172375328084005"/>
          <c:h val="0.79315201756063491"/>
        </c:manualLayout>
      </c:layout>
      <c:scatterChart>
        <c:scatterStyle val="smoothMarker"/>
        <c:varyColors val="0"/>
        <c:ser>
          <c:idx val="0"/>
          <c:order val="0"/>
          <c:tx>
            <c:v>Zones/Interface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906194065191389E-3"/>
                  <c:y val="0.268665414285143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'[2]CalWave Single Pile'!$A$3:$A$42</c:f>
              <c:numCache>
                <c:formatCode>General</c:formatCode>
                <c:ptCount val="40"/>
                <c:pt idx="0">
                  <c:v>0</c:v>
                </c:pt>
                <c:pt idx="1">
                  <c:v>1.7223803628068699E-4</c:v>
                </c:pt>
                <c:pt idx="2">
                  <c:v>4.09159304496551E-4</c:v>
                </c:pt>
                <c:pt idx="3">
                  <c:v>6.8968105234067404E-4</c:v>
                </c:pt>
                <c:pt idx="4">
                  <c:v>1.05541600739645E-3</c:v>
                </c:pt>
                <c:pt idx="5">
                  <c:v>1.41994429816014E-3</c:v>
                </c:pt>
                <c:pt idx="6">
                  <c:v>1.8166003957067801E-3</c:v>
                </c:pt>
                <c:pt idx="7">
                  <c:v>2.2333256208924299E-3</c:v>
                </c:pt>
                <c:pt idx="8">
                  <c:v>2.6743258658809802E-3</c:v>
                </c:pt>
                <c:pt idx="9">
                  <c:v>3.1307692167024601E-3</c:v>
                </c:pt>
                <c:pt idx="10">
                  <c:v>3.5987373076418199E-3</c:v>
                </c:pt>
                <c:pt idx="11">
                  <c:v>4.0799112471276303E-3</c:v>
                </c:pt>
                <c:pt idx="12">
                  <c:v>4.5772187154678899E-3</c:v>
                </c:pt>
                <c:pt idx="13">
                  <c:v>5.0845908992861897E-3</c:v>
                </c:pt>
                <c:pt idx="14">
                  <c:v>5.6039316153948396E-3</c:v>
                </c:pt>
                <c:pt idx="15">
                  <c:v>6.1210072937517004E-3</c:v>
                </c:pt>
                <c:pt idx="16">
                  <c:v>6.64228699217893E-3</c:v>
                </c:pt>
                <c:pt idx="17">
                  <c:v>7.1914917635829897E-3</c:v>
                </c:pt>
                <c:pt idx="18">
                  <c:v>7.7284043820053097E-3</c:v>
                </c:pt>
                <c:pt idx="19">
                  <c:v>8.2672063820620392E-3</c:v>
                </c:pt>
                <c:pt idx="20">
                  <c:v>8.8178679588264506E-3</c:v>
                </c:pt>
                <c:pt idx="21">
                  <c:v>9.4733986818926301E-3</c:v>
                </c:pt>
                <c:pt idx="22">
                  <c:v>9.9658786770814405E-3</c:v>
                </c:pt>
                <c:pt idx="23">
                  <c:v>1.05594374297577E-2</c:v>
                </c:pt>
                <c:pt idx="24">
                  <c:v>1.1127660926180101E-2</c:v>
                </c:pt>
                <c:pt idx="25">
                  <c:v>1.17492988382304E-2</c:v>
                </c:pt>
                <c:pt idx="26">
                  <c:v>1.23012426031063E-2</c:v>
                </c:pt>
                <c:pt idx="27">
                  <c:v>1.28450043915061E-2</c:v>
                </c:pt>
                <c:pt idx="28">
                  <c:v>1.3558501394210099E-2</c:v>
                </c:pt>
                <c:pt idx="29">
                  <c:v>1.4146372001731499E-2</c:v>
                </c:pt>
                <c:pt idx="30">
                  <c:v>1.46720519747031E-2</c:v>
                </c:pt>
                <c:pt idx="31">
                  <c:v>1.5396416211291701E-2</c:v>
                </c:pt>
                <c:pt idx="32">
                  <c:v>1.59352878385518E-2</c:v>
                </c:pt>
                <c:pt idx="33">
                  <c:v>1.66799385611371E-2</c:v>
                </c:pt>
                <c:pt idx="34">
                  <c:v>1.7202795438894001E-2</c:v>
                </c:pt>
                <c:pt idx="35">
                  <c:v>1.7958877974144801E-2</c:v>
                </c:pt>
                <c:pt idx="36">
                  <c:v>1.8382736495762102E-2</c:v>
                </c:pt>
                <c:pt idx="37">
                  <c:v>1.9254918500177801E-2</c:v>
                </c:pt>
                <c:pt idx="38">
                  <c:v>1.97907519627404E-2</c:v>
                </c:pt>
                <c:pt idx="39">
                  <c:v>2.05000510357458E-2</c:v>
                </c:pt>
              </c:numCache>
            </c:numRef>
          </c:xVal>
          <c:yVal>
            <c:numRef>
              <c:f>'[2]CalWave Single Pile'!$B$3:$B$42</c:f>
              <c:numCache>
                <c:formatCode>General</c:formatCode>
                <c:ptCount val="40"/>
                <c:pt idx="0">
                  <c:v>0</c:v>
                </c:pt>
                <c:pt idx="1">
                  <c:v>9.9995999999999992</c:v>
                </c:pt>
                <c:pt idx="2">
                  <c:v>19.999199999999998</c:v>
                </c:pt>
                <c:pt idx="3">
                  <c:v>29.998799999999999</c:v>
                </c:pt>
                <c:pt idx="4">
                  <c:v>39.998399999999997</c:v>
                </c:pt>
                <c:pt idx="5">
                  <c:v>49.997999999999998</c:v>
                </c:pt>
                <c:pt idx="6">
                  <c:v>59.997599999999998</c:v>
                </c:pt>
                <c:pt idx="7">
                  <c:v>69.997200000000007</c:v>
                </c:pt>
                <c:pt idx="8">
                  <c:v>79.996799999999993</c:v>
                </c:pt>
                <c:pt idx="9">
                  <c:v>89.996399999999994</c:v>
                </c:pt>
                <c:pt idx="10">
                  <c:v>99.995999999999995</c:v>
                </c:pt>
                <c:pt idx="11">
                  <c:v>109.9956</c:v>
                </c:pt>
                <c:pt idx="12">
                  <c:v>119.9952</c:v>
                </c:pt>
                <c:pt idx="13">
                  <c:v>129.9948</c:v>
                </c:pt>
                <c:pt idx="14">
                  <c:v>139.99440000000001</c:v>
                </c:pt>
                <c:pt idx="15">
                  <c:v>149.994</c:v>
                </c:pt>
                <c:pt idx="16">
                  <c:v>159.99359999999999</c:v>
                </c:pt>
                <c:pt idx="17">
                  <c:v>169.9932</c:v>
                </c:pt>
                <c:pt idx="18">
                  <c:v>179.99279999999999</c:v>
                </c:pt>
                <c:pt idx="19">
                  <c:v>189.9924</c:v>
                </c:pt>
                <c:pt idx="20">
                  <c:v>199.99199999999999</c:v>
                </c:pt>
                <c:pt idx="21">
                  <c:v>209.99160000000001</c:v>
                </c:pt>
                <c:pt idx="22">
                  <c:v>219.99119999999999</c:v>
                </c:pt>
                <c:pt idx="23">
                  <c:v>229.99080000000001</c:v>
                </c:pt>
                <c:pt idx="24">
                  <c:v>239.99039999999999</c:v>
                </c:pt>
                <c:pt idx="25">
                  <c:v>249.99</c:v>
                </c:pt>
                <c:pt idx="26">
                  <c:v>259.9896</c:v>
                </c:pt>
                <c:pt idx="27">
                  <c:v>269.98919999999998</c:v>
                </c:pt>
                <c:pt idx="28">
                  <c:v>279.98880000000003</c:v>
                </c:pt>
                <c:pt idx="29">
                  <c:v>289.98840000000001</c:v>
                </c:pt>
                <c:pt idx="30">
                  <c:v>299.988</c:v>
                </c:pt>
                <c:pt idx="31">
                  <c:v>309.98759999999999</c:v>
                </c:pt>
                <c:pt idx="32">
                  <c:v>319.98719999999997</c:v>
                </c:pt>
                <c:pt idx="33">
                  <c:v>329.98680000000002</c:v>
                </c:pt>
                <c:pt idx="34">
                  <c:v>339.9864</c:v>
                </c:pt>
                <c:pt idx="35">
                  <c:v>349.98599999999999</c:v>
                </c:pt>
                <c:pt idx="36">
                  <c:v>359.98559999999998</c:v>
                </c:pt>
                <c:pt idx="37">
                  <c:v>369.98520000000002</c:v>
                </c:pt>
                <c:pt idx="38">
                  <c:v>379.98480000000001</c:v>
                </c:pt>
                <c:pt idx="39">
                  <c:v>389.98439999999999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03-4925-9B22-C3C41661E78B}"/>
            </c:ext>
          </c:extLst>
        </c:ser>
        <c:ser>
          <c:idx val="1"/>
          <c:order val="1"/>
          <c:tx>
            <c:v>Structural Element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'[2]CalWave Single Pile'!$D$4:$D$416</c:f>
              <c:numCache>
                <c:formatCode>General</c:formatCode>
                <c:ptCount val="413"/>
                <c:pt idx="0">
                  <c:v>1.64845160103026E-4</c:v>
                </c:pt>
                <c:pt idx="1">
                  <c:v>3.8333489819057599E-4</c:v>
                </c:pt>
                <c:pt idx="2">
                  <c:v>6.3799984797144305E-4</c:v>
                </c:pt>
                <c:pt idx="3">
                  <c:v>9.2662601429247405E-4</c:v>
                </c:pt>
                <c:pt idx="4">
                  <c:v>1.24707243288102E-3</c:v>
                </c:pt>
                <c:pt idx="5">
                  <c:v>1.5830561445549301E-3</c:v>
                </c:pt>
                <c:pt idx="6">
                  <c:v>1.9475552853925201E-3</c:v>
                </c:pt>
                <c:pt idx="7">
                  <c:v>2.33523607309968E-3</c:v>
                </c:pt>
                <c:pt idx="8">
                  <c:v>2.7321743706412798E-3</c:v>
                </c:pt>
                <c:pt idx="9">
                  <c:v>3.14690019170541E-3</c:v>
                </c:pt>
                <c:pt idx="10">
                  <c:v>3.58676666314507E-3</c:v>
                </c:pt>
                <c:pt idx="11">
                  <c:v>4.0335861493378403E-3</c:v>
                </c:pt>
                <c:pt idx="12">
                  <c:v>4.48655098628962E-3</c:v>
                </c:pt>
                <c:pt idx="13">
                  <c:v>4.9516148169742999E-3</c:v>
                </c:pt>
                <c:pt idx="14">
                  <c:v>5.4266776793497999E-3</c:v>
                </c:pt>
                <c:pt idx="15">
                  <c:v>5.9087410876771697E-3</c:v>
                </c:pt>
                <c:pt idx="16">
                  <c:v>6.39832105726459E-3</c:v>
                </c:pt>
                <c:pt idx="17">
                  <c:v>6.9026116121996004E-3</c:v>
                </c:pt>
                <c:pt idx="18">
                  <c:v>7.40393561256859E-3</c:v>
                </c:pt>
                <c:pt idx="19">
                  <c:v>7.9152969116188902E-3</c:v>
                </c:pt>
                <c:pt idx="20">
                  <c:v>8.4492072849401498E-3</c:v>
                </c:pt>
                <c:pt idx="21">
                  <c:v>8.9702942545966096E-3</c:v>
                </c:pt>
                <c:pt idx="22">
                  <c:v>9.5030427271521108E-3</c:v>
                </c:pt>
                <c:pt idx="23">
                  <c:v>1.0046753310981E-2</c:v>
                </c:pt>
                <c:pt idx="24">
                  <c:v>1.0589766947408E-2</c:v>
                </c:pt>
                <c:pt idx="25">
                  <c:v>1.1139132425156699E-2</c:v>
                </c:pt>
                <c:pt idx="26">
                  <c:v>1.1695777500450101E-2</c:v>
                </c:pt>
                <c:pt idx="27">
                  <c:v>1.22711508417773E-2</c:v>
                </c:pt>
                <c:pt idx="28">
                  <c:v>1.28429679507642E-2</c:v>
                </c:pt>
                <c:pt idx="29">
                  <c:v>1.3413317899796899E-2</c:v>
                </c:pt>
                <c:pt idx="30">
                  <c:v>1.39914839362384E-2</c:v>
                </c:pt>
                <c:pt idx="31">
                  <c:v>1.4573255058250601E-2</c:v>
                </c:pt>
                <c:pt idx="32">
                  <c:v>1.5159611952904099E-2</c:v>
                </c:pt>
                <c:pt idx="33">
                  <c:v>1.5754566708178899E-2</c:v>
                </c:pt>
                <c:pt idx="34">
                  <c:v>1.6353418458388402E-2</c:v>
                </c:pt>
                <c:pt idx="35">
                  <c:v>1.6961302133634198E-2</c:v>
                </c:pt>
                <c:pt idx="36">
                  <c:v>1.7573450373038799E-2</c:v>
                </c:pt>
                <c:pt idx="37">
                  <c:v>1.81889044985576E-2</c:v>
                </c:pt>
                <c:pt idx="38">
                  <c:v>1.8808853297473602E-2</c:v>
                </c:pt>
                <c:pt idx="39">
                  <c:v>1.9434403917261599E-2</c:v>
                </c:pt>
                <c:pt idx="40">
                  <c:v>2.0063781865281301E-2</c:v>
                </c:pt>
              </c:numCache>
            </c:numRef>
          </c:xVal>
          <c:yVal>
            <c:numRef>
              <c:f>'[2]CalWave Single Pile'!$E$4:$E$416</c:f>
              <c:numCache>
                <c:formatCode>General</c:formatCode>
                <c:ptCount val="41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03-4925-9B22-C3C41661E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537520"/>
        <c:axId val="997534160"/>
      </c:scatterChart>
      <c:valAx>
        <c:axId val="99753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34160"/>
        <c:crosses val="autoZero"/>
        <c:crossBetween val="midCat"/>
      </c:valAx>
      <c:valAx>
        <c:axId val="997534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3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24315538539336"/>
          <c:y val="0.67952035298649971"/>
          <c:w val="0.24746522510374278"/>
          <c:h val="0.1187970299911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225669</xdr:colOff>
      <xdr:row>11</xdr:row>
      <xdr:rowOff>120527</xdr:rowOff>
    </xdr:from>
    <xdr:to>
      <xdr:col>8</xdr:col>
      <xdr:colOff>529004</xdr:colOff>
      <xdr:row>26</xdr:row>
      <xdr:rowOff>6227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964D9-DDDA-017C-DEBD-AA6D3D863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86676</xdr:colOff>
      <xdr:row>4</xdr:row>
      <xdr:rowOff>2856</xdr:rowOff>
    </xdr:from>
    <xdr:to>
      <xdr:col>39</xdr:col>
      <xdr:colOff>285749</xdr:colOff>
      <xdr:row>37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AFD39-554D-4086-B8D0-4A194F4E6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601981</xdr:colOff>
      <xdr:row>23</xdr:row>
      <xdr:rowOff>167640</xdr:rowOff>
    </xdr:from>
    <xdr:to>
      <xdr:col>12</xdr:col>
      <xdr:colOff>327661</xdr:colOff>
      <xdr:row>52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F87273-2EA9-40B5-8D99-4D609E03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0031" y="4549140"/>
          <a:ext cx="4602480" cy="5455920"/>
        </a:xfrm>
        <a:prstGeom prst="rect">
          <a:avLst/>
        </a:prstGeom>
      </xdr:spPr>
    </xdr:pic>
    <xdr:clientData/>
  </xdr:twoCellAnchor>
  <xdr:twoCellAnchor>
    <xdr:from>
      <xdr:col>5</xdr:col>
      <xdr:colOff>350520</xdr:colOff>
      <xdr:row>2</xdr:row>
      <xdr:rowOff>41910</xdr:rowOff>
    </xdr:from>
    <xdr:to>
      <xdr:col>13</xdr:col>
      <xdr:colOff>457200</xdr:colOff>
      <xdr:row>21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1CD1FE-831E-4C17-AEB3-9E09E2A0B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68580</xdr:colOff>
      <xdr:row>24</xdr:row>
      <xdr:rowOff>74635</xdr:rowOff>
    </xdr:from>
    <xdr:to>
      <xdr:col>7</xdr:col>
      <xdr:colOff>533400</xdr:colOff>
      <xdr:row>35</xdr:row>
      <xdr:rowOff>41519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113597-3270-48FA-A548-C7B511FC7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6230" y="4646635"/>
          <a:ext cx="1684020" cy="2062384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31</xdr:row>
      <xdr:rowOff>0</xdr:rowOff>
    </xdr:from>
    <xdr:to>
      <xdr:col>12</xdr:col>
      <xdr:colOff>125076</xdr:colOff>
      <xdr:row>49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B2818B-04C3-43C9-A238-3786CAAE1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7550" y="5905500"/>
          <a:ext cx="1382376" cy="3558540"/>
        </a:xfrm>
        <a:prstGeom prst="rect">
          <a:avLst/>
        </a:prstGeom>
      </xdr:spPr>
    </xdr:pic>
    <xdr:clientData/>
  </xdr:twoCellAnchor>
  <xdr:twoCellAnchor editAs="oneCell">
    <xdr:from>
      <xdr:col>13</xdr:col>
      <xdr:colOff>205740</xdr:colOff>
      <xdr:row>24</xdr:row>
      <xdr:rowOff>30480</xdr:rowOff>
    </xdr:from>
    <xdr:to>
      <xdr:col>19</xdr:col>
      <xdr:colOff>73731</xdr:colOff>
      <xdr:row>52</xdr:row>
      <xdr:rowOff>33649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FB63AA-B983-4012-BA24-7896EA210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0190" y="4602480"/>
          <a:ext cx="4459041" cy="5337169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24</xdr:row>
      <xdr:rowOff>91441</xdr:rowOff>
    </xdr:from>
    <xdr:to>
      <xdr:col>14</xdr:col>
      <xdr:colOff>1398800</xdr:colOff>
      <xdr:row>34</xdr:row>
      <xdr:rowOff>160021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D78080-E4BF-474E-8990-9CA613811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01150" y="4663441"/>
          <a:ext cx="1741700" cy="1973580"/>
        </a:xfrm>
        <a:prstGeom prst="rect">
          <a:avLst/>
        </a:prstGeom>
      </xdr:spPr>
    </xdr:pic>
    <xdr:clientData/>
  </xdr:twoCellAnchor>
  <xdr:twoCellAnchor editAs="oneCell">
    <xdr:from>
      <xdr:col>16</xdr:col>
      <xdr:colOff>536922</xdr:colOff>
      <xdr:row>30</xdr:row>
      <xdr:rowOff>22861</xdr:rowOff>
    </xdr:from>
    <xdr:to>
      <xdr:col>19</xdr:col>
      <xdr:colOff>150191</xdr:colOff>
      <xdr:row>48</xdr:row>
      <xdr:rowOff>152401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A8A7F06-0B63-4704-B091-03891BEA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33622" y="5737861"/>
          <a:ext cx="1442069" cy="3558540"/>
        </a:xfrm>
        <a:prstGeom prst="rect">
          <a:avLst/>
        </a:prstGeom>
      </xdr:spPr>
    </xdr:pic>
    <xdr:clientData/>
  </xdr:twoCellAnchor>
  <xdr:oneCellAnchor>
    <xdr:from>
      <xdr:col>7</xdr:col>
      <xdr:colOff>594360</xdr:colOff>
      <xdr:row>50</xdr:row>
      <xdr:rowOff>114300</xdr:rowOff>
    </xdr:from>
    <xdr:ext cx="107260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7FB5C3-E671-42A0-9E00-11FE2DF76D5C}"/>
            </a:ext>
          </a:extLst>
        </xdr:cNvPr>
        <xdr:cNvSpPr txBox="1"/>
      </xdr:nvSpPr>
      <xdr:spPr>
        <a:xfrm>
          <a:off x="5871210" y="9639300"/>
          <a:ext cx="107260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Zones/Interface</a:t>
          </a:r>
        </a:p>
      </xdr:txBody>
    </xdr:sp>
    <xdr:clientData/>
  </xdr:oneCellAnchor>
  <xdr:oneCellAnchor>
    <xdr:from>
      <xdr:col>14</xdr:col>
      <xdr:colOff>1226820</xdr:colOff>
      <xdr:row>50</xdr:row>
      <xdr:rowOff>76200</xdr:rowOff>
    </xdr:from>
    <xdr:ext cx="123662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61075BE-E22B-4DE8-BBA8-0C2EF5C2545C}"/>
            </a:ext>
          </a:extLst>
        </xdr:cNvPr>
        <xdr:cNvSpPr txBox="1"/>
      </xdr:nvSpPr>
      <xdr:spPr>
        <a:xfrm>
          <a:off x="10770870" y="9601200"/>
          <a:ext cx="123662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Structural Element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tonsys.sharepoint.com/sites/TritonAnchor/Shared%20Documents/Jobs/4103%20-%20CalWave%20Anchor/Working/2.%20Design/CalWave%20Inputs/Mooring%20Line%20Load%20Cycles.xlsx" TargetMode="External"/><Relationship Id="rId1" Type="http://schemas.openxmlformats.org/officeDocument/2006/relationships/externalLinkPath" Target="https://tritonsys.sharepoint.com/sites/TritonAnchor/Shared%20Documents/Jobs/4103%20-%20CalWave%20Anchor/Working/2.%20Design/CalWave%20Inputs/Mooring%20Line%20Load%20Cyc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gdavis\AppData\Local\Microsoft\Windows\INetCache\Content.Outlook\M2SJ6UML\CalWave%20Single%20Pile.xlsx" TargetMode="External"/><Relationship Id="rId1" Type="http://schemas.openxmlformats.org/officeDocument/2006/relationships/externalLinkPath" Target="file:///C:\Users\mgdavis\AppData\Local\Microsoft\Windows\INetCache\Content.Outlook\M2SJ6UML\CalWave%20Single%20P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">
          <cell r="C5">
            <v>120</v>
          </cell>
          <cell r="D5">
            <v>150</v>
          </cell>
          <cell r="E5">
            <v>180</v>
          </cell>
          <cell r="F5">
            <v>210</v>
          </cell>
          <cell r="G5">
            <v>240</v>
          </cell>
          <cell r="H5">
            <v>270</v>
          </cell>
          <cell r="I5">
            <v>300</v>
          </cell>
          <cell r="J5">
            <v>330</v>
          </cell>
          <cell r="K5">
            <v>360</v>
          </cell>
          <cell r="L5">
            <v>390</v>
          </cell>
          <cell r="M5">
            <v>420</v>
          </cell>
          <cell r="N5">
            <v>450</v>
          </cell>
          <cell r="O5">
            <v>480</v>
          </cell>
          <cell r="P5">
            <v>510</v>
          </cell>
          <cell r="Q5">
            <v>540</v>
          </cell>
          <cell r="R5">
            <v>570</v>
          </cell>
          <cell r="S5">
            <v>600</v>
          </cell>
          <cell r="T5">
            <v>630</v>
          </cell>
          <cell r="U5">
            <v>660</v>
          </cell>
          <cell r="V5">
            <v>690</v>
          </cell>
          <cell r="W5">
            <v>720</v>
          </cell>
          <cell r="X5">
            <v>750</v>
          </cell>
          <cell r="Y5">
            <v>780</v>
          </cell>
        </row>
        <row r="6">
          <cell r="B6">
            <v>20</v>
          </cell>
          <cell r="C6">
            <v>0</v>
          </cell>
          <cell r="D6">
            <v>167840</v>
          </cell>
          <cell r="E6">
            <v>49731400</v>
          </cell>
          <cell r="F6">
            <v>13391520</v>
          </cell>
          <cell r="G6">
            <v>365920</v>
          </cell>
          <cell r="H6">
            <v>282000</v>
          </cell>
          <cell r="I6">
            <v>435800</v>
          </cell>
          <cell r="J6">
            <v>530880</v>
          </cell>
          <cell r="K6">
            <v>766440</v>
          </cell>
          <cell r="L6">
            <v>909280</v>
          </cell>
          <cell r="M6">
            <v>955720</v>
          </cell>
          <cell r="N6">
            <v>778560</v>
          </cell>
          <cell r="O6">
            <v>379640</v>
          </cell>
          <cell r="P6">
            <v>371920</v>
          </cell>
          <cell r="Q6">
            <v>236320</v>
          </cell>
          <cell r="R6">
            <v>223720</v>
          </cell>
          <cell r="S6">
            <v>139920</v>
          </cell>
          <cell r="T6">
            <v>2146640</v>
          </cell>
          <cell r="U6">
            <v>31984880</v>
          </cell>
          <cell r="V6">
            <v>9172040</v>
          </cell>
          <cell r="W6">
            <v>204560</v>
          </cell>
          <cell r="X6">
            <v>120</v>
          </cell>
          <cell r="Y6">
            <v>0</v>
          </cell>
        </row>
        <row r="7">
          <cell r="B7">
            <v>40</v>
          </cell>
          <cell r="C7">
            <v>0</v>
          </cell>
          <cell r="D7">
            <v>0</v>
          </cell>
          <cell r="E7">
            <v>162200</v>
          </cell>
          <cell r="F7">
            <v>373680</v>
          </cell>
          <cell r="G7">
            <v>75280</v>
          </cell>
          <cell r="H7">
            <v>130960</v>
          </cell>
          <cell r="I7">
            <v>89000</v>
          </cell>
          <cell r="J7">
            <v>242520</v>
          </cell>
          <cell r="K7">
            <v>380840</v>
          </cell>
          <cell r="L7">
            <v>576440</v>
          </cell>
          <cell r="M7">
            <v>389640</v>
          </cell>
          <cell r="N7">
            <v>290640</v>
          </cell>
          <cell r="O7">
            <v>213480</v>
          </cell>
          <cell r="P7">
            <v>155000</v>
          </cell>
          <cell r="Q7">
            <v>41160</v>
          </cell>
          <cell r="R7">
            <v>20720</v>
          </cell>
          <cell r="S7">
            <v>49080</v>
          </cell>
          <cell r="T7">
            <v>913120</v>
          </cell>
          <cell r="U7">
            <v>4227520</v>
          </cell>
          <cell r="V7">
            <v>647680</v>
          </cell>
          <cell r="W7">
            <v>13840</v>
          </cell>
          <cell r="X7">
            <v>0</v>
          </cell>
          <cell r="Y7">
            <v>0</v>
          </cell>
        </row>
        <row r="8">
          <cell r="B8">
            <v>60</v>
          </cell>
          <cell r="C8">
            <v>0</v>
          </cell>
          <cell r="D8">
            <v>0</v>
          </cell>
          <cell r="E8">
            <v>23320</v>
          </cell>
          <cell r="F8">
            <v>109760</v>
          </cell>
          <cell r="G8">
            <v>45480</v>
          </cell>
          <cell r="H8">
            <v>71760</v>
          </cell>
          <cell r="I8">
            <v>91440</v>
          </cell>
          <cell r="J8">
            <v>218520</v>
          </cell>
          <cell r="K8">
            <v>368360</v>
          </cell>
          <cell r="L8">
            <v>340560</v>
          </cell>
          <cell r="M8">
            <v>588720</v>
          </cell>
          <cell r="N8">
            <v>187720</v>
          </cell>
          <cell r="O8">
            <v>173520</v>
          </cell>
          <cell r="P8">
            <v>65080</v>
          </cell>
          <cell r="Q8">
            <v>62160</v>
          </cell>
          <cell r="R8">
            <v>66920</v>
          </cell>
          <cell r="S8">
            <v>13600</v>
          </cell>
          <cell r="T8">
            <v>102040</v>
          </cell>
          <cell r="U8">
            <v>153200</v>
          </cell>
          <cell r="V8">
            <v>14160</v>
          </cell>
          <cell r="W8">
            <v>1040</v>
          </cell>
          <cell r="X8">
            <v>0</v>
          </cell>
          <cell r="Y8">
            <v>0</v>
          </cell>
        </row>
        <row r="9">
          <cell r="B9">
            <v>80</v>
          </cell>
          <cell r="C9">
            <v>0</v>
          </cell>
          <cell r="D9">
            <v>0</v>
          </cell>
          <cell r="E9">
            <v>7400</v>
          </cell>
          <cell r="F9">
            <v>51440</v>
          </cell>
          <cell r="G9">
            <v>34160</v>
          </cell>
          <cell r="H9">
            <v>20200</v>
          </cell>
          <cell r="I9">
            <v>144120</v>
          </cell>
          <cell r="J9">
            <v>151000</v>
          </cell>
          <cell r="K9">
            <v>267360</v>
          </cell>
          <cell r="L9">
            <v>542760</v>
          </cell>
          <cell r="M9">
            <v>572680</v>
          </cell>
          <cell r="N9">
            <v>274080</v>
          </cell>
          <cell r="O9">
            <v>88680</v>
          </cell>
          <cell r="P9">
            <v>105920</v>
          </cell>
          <cell r="Q9">
            <v>19520</v>
          </cell>
          <cell r="R9">
            <v>5240</v>
          </cell>
          <cell r="S9">
            <v>5040</v>
          </cell>
          <cell r="T9">
            <v>25480</v>
          </cell>
          <cell r="U9">
            <v>37120</v>
          </cell>
          <cell r="V9">
            <v>2280</v>
          </cell>
          <cell r="W9">
            <v>0</v>
          </cell>
          <cell r="X9">
            <v>0</v>
          </cell>
          <cell r="Y9">
            <v>0</v>
          </cell>
        </row>
        <row r="10">
          <cell r="B10">
            <v>100</v>
          </cell>
          <cell r="C10">
            <v>0</v>
          </cell>
          <cell r="D10">
            <v>0</v>
          </cell>
          <cell r="E10">
            <v>40</v>
          </cell>
          <cell r="F10">
            <v>13360</v>
          </cell>
          <cell r="G10">
            <v>30360</v>
          </cell>
          <cell r="H10">
            <v>32400</v>
          </cell>
          <cell r="I10">
            <v>77600</v>
          </cell>
          <cell r="J10">
            <v>149880</v>
          </cell>
          <cell r="K10">
            <v>244480</v>
          </cell>
          <cell r="L10">
            <v>506040</v>
          </cell>
          <cell r="M10">
            <v>366040</v>
          </cell>
          <cell r="N10">
            <v>194800</v>
          </cell>
          <cell r="O10">
            <v>88840</v>
          </cell>
          <cell r="P10">
            <v>34920</v>
          </cell>
          <cell r="Q10">
            <v>26640</v>
          </cell>
          <cell r="R10">
            <v>2480</v>
          </cell>
          <cell r="S10">
            <v>1160</v>
          </cell>
          <cell r="T10">
            <v>7200</v>
          </cell>
          <cell r="U10">
            <v>3240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>
            <v>120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22240</v>
          </cell>
          <cell r="H11">
            <v>14800</v>
          </cell>
          <cell r="I11">
            <v>95440</v>
          </cell>
          <cell r="J11">
            <v>147600</v>
          </cell>
          <cell r="K11">
            <v>299200</v>
          </cell>
          <cell r="L11">
            <v>604200</v>
          </cell>
          <cell r="M11">
            <v>410840</v>
          </cell>
          <cell r="N11">
            <v>170680</v>
          </cell>
          <cell r="O11">
            <v>44600</v>
          </cell>
          <cell r="P11">
            <v>33840</v>
          </cell>
          <cell r="Q11">
            <v>3640</v>
          </cell>
          <cell r="R11">
            <v>8120</v>
          </cell>
          <cell r="S11">
            <v>13000</v>
          </cell>
          <cell r="T11">
            <v>4560</v>
          </cell>
          <cell r="U11">
            <v>880</v>
          </cell>
          <cell r="V11">
            <v>80</v>
          </cell>
          <cell r="W11">
            <v>0</v>
          </cell>
          <cell r="X11">
            <v>0</v>
          </cell>
          <cell r="Y11">
            <v>0</v>
          </cell>
        </row>
        <row r="12">
          <cell r="B12">
            <v>140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23440</v>
          </cell>
          <cell r="H12">
            <v>27480</v>
          </cell>
          <cell r="I12">
            <v>81200</v>
          </cell>
          <cell r="J12">
            <v>134320</v>
          </cell>
          <cell r="K12">
            <v>211720</v>
          </cell>
          <cell r="L12">
            <v>716440</v>
          </cell>
          <cell r="M12">
            <v>428440</v>
          </cell>
          <cell r="N12">
            <v>133160</v>
          </cell>
          <cell r="O12">
            <v>97800</v>
          </cell>
          <cell r="P12">
            <v>41920</v>
          </cell>
          <cell r="Q12">
            <v>11640</v>
          </cell>
          <cell r="R12">
            <v>1680</v>
          </cell>
          <cell r="S12">
            <v>680</v>
          </cell>
          <cell r="T12">
            <v>40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>
            <v>160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23360</v>
          </cell>
          <cell r="H13">
            <v>54520</v>
          </cell>
          <cell r="I13">
            <v>30560</v>
          </cell>
          <cell r="J13">
            <v>84360</v>
          </cell>
          <cell r="K13">
            <v>275200</v>
          </cell>
          <cell r="L13">
            <v>471880</v>
          </cell>
          <cell r="M13">
            <v>371080</v>
          </cell>
          <cell r="N13">
            <v>155240</v>
          </cell>
          <cell r="O13">
            <v>72520</v>
          </cell>
          <cell r="P13">
            <v>15960</v>
          </cell>
          <cell r="Q13">
            <v>7640</v>
          </cell>
          <cell r="R13">
            <v>3120</v>
          </cell>
          <cell r="S13">
            <v>1320</v>
          </cell>
          <cell r="T13">
            <v>360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>
            <v>180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13160</v>
          </cell>
          <cell r="I14">
            <v>60680</v>
          </cell>
          <cell r="J14">
            <v>55680</v>
          </cell>
          <cell r="K14">
            <v>203480</v>
          </cell>
          <cell r="L14">
            <v>591640</v>
          </cell>
          <cell r="M14">
            <v>482680</v>
          </cell>
          <cell r="N14">
            <v>114720</v>
          </cell>
          <cell r="O14">
            <v>55240</v>
          </cell>
          <cell r="P14">
            <v>29360</v>
          </cell>
          <cell r="Q14">
            <v>24760</v>
          </cell>
          <cell r="R14">
            <v>2520</v>
          </cell>
          <cell r="S14">
            <v>3520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>
            <v>200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11000</v>
          </cell>
          <cell r="I15">
            <v>54080</v>
          </cell>
          <cell r="J15">
            <v>78880</v>
          </cell>
          <cell r="K15">
            <v>218440</v>
          </cell>
          <cell r="L15">
            <v>721240</v>
          </cell>
          <cell r="M15">
            <v>613280</v>
          </cell>
          <cell r="N15">
            <v>159160</v>
          </cell>
          <cell r="O15">
            <v>26360</v>
          </cell>
          <cell r="P15">
            <v>6240</v>
          </cell>
          <cell r="Q15">
            <v>6560</v>
          </cell>
          <cell r="R15">
            <v>11000</v>
          </cell>
          <cell r="S15">
            <v>1320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>
            <v>220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3520</v>
          </cell>
          <cell r="I16">
            <v>49760</v>
          </cell>
          <cell r="J16">
            <v>64120</v>
          </cell>
          <cell r="K16">
            <v>278160</v>
          </cell>
          <cell r="L16">
            <v>778320</v>
          </cell>
          <cell r="M16">
            <v>567800</v>
          </cell>
          <cell r="N16">
            <v>165560</v>
          </cell>
          <cell r="O16">
            <v>19600</v>
          </cell>
          <cell r="P16">
            <v>960</v>
          </cell>
          <cell r="Q16">
            <v>8840</v>
          </cell>
          <cell r="R16">
            <v>6880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>
            <v>240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70440</v>
          </cell>
          <cell r="J17">
            <v>106600</v>
          </cell>
          <cell r="K17">
            <v>260640</v>
          </cell>
          <cell r="L17">
            <v>982200</v>
          </cell>
          <cell r="M17">
            <v>666640</v>
          </cell>
          <cell r="N17">
            <v>79160</v>
          </cell>
          <cell r="O17">
            <v>13480</v>
          </cell>
          <cell r="P17">
            <v>2120</v>
          </cell>
          <cell r="Q17">
            <v>5520</v>
          </cell>
          <cell r="R17">
            <v>4520</v>
          </cell>
          <cell r="S17">
            <v>40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>
            <v>260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11640</v>
          </cell>
          <cell r="J18">
            <v>79600</v>
          </cell>
          <cell r="K18">
            <v>227120</v>
          </cell>
          <cell r="L18">
            <v>853680</v>
          </cell>
          <cell r="M18">
            <v>675360</v>
          </cell>
          <cell r="N18">
            <v>85840</v>
          </cell>
          <cell r="O18">
            <v>57160</v>
          </cell>
          <cell r="P18">
            <v>1600</v>
          </cell>
          <cell r="Q18">
            <v>10600</v>
          </cell>
          <cell r="R18">
            <v>1120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>
            <v>280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11800</v>
          </cell>
          <cell r="J19">
            <v>133960</v>
          </cell>
          <cell r="K19">
            <v>341440</v>
          </cell>
          <cell r="L19">
            <v>812800</v>
          </cell>
          <cell r="M19">
            <v>718640</v>
          </cell>
          <cell r="N19">
            <v>134600</v>
          </cell>
          <cell r="O19">
            <v>43720</v>
          </cell>
          <cell r="P19">
            <v>10880</v>
          </cell>
          <cell r="Q19">
            <v>4000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>
            <v>300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1640</v>
          </cell>
          <cell r="J20">
            <v>68120</v>
          </cell>
          <cell r="K20">
            <v>314840</v>
          </cell>
          <cell r="L20">
            <v>738720</v>
          </cell>
          <cell r="M20">
            <v>695360</v>
          </cell>
          <cell r="N20">
            <v>216720</v>
          </cell>
          <cell r="O20">
            <v>13080</v>
          </cell>
          <cell r="P20">
            <v>11400</v>
          </cell>
          <cell r="Q20">
            <v>2320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>
            <v>320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59040</v>
          </cell>
          <cell r="K21">
            <v>310120</v>
          </cell>
          <cell r="L21">
            <v>991960</v>
          </cell>
          <cell r="M21">
            <v>809800</v>
          </cell>
          <cell r="N21">
            <v>202240</v>
          </cell>
          <cell r="O21">
            <v>65720</v>
          </cell>
          <cell r="P21">
            <v>7720</v>
          </cell>
          <cell r="Q21">
            <v>16960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>
            <v>340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37880</v>
          </cell>
          <cell r="K22">
            <v>443360</v>
          </cell>
          <cell r="L22">
            <v>704920</v>
          </cell>
          <cell r="M22">
            <v>612880</v>
          </cell>
          <cell r="N22">
            <v>253480</v>
          </cell>
          <cell r="O22">
            <v>36720</v>
          </cell>
          <cell r="P22">
            <v>3200</v>
          </cell>
          <cell r="Q22">
            <v>40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>
            <v>360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800</v>
          </cell>
          <cell r="K23">
            <v>574920</v>
          </cell>
          <cell r="L23">
            <v>741600</v>
          </cell>
          <cell r="M23">
            <v>569800</v>
          </cell>
          <cell r="N23">
            <v>143720</v>
          </cell>
          <cell r="O23">
            <v>25320</v>
          </cell>
          <cell r="P23">
            <v>1920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>
            <v>380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5640</v>
          </cell>
          <cell r="K24">
            <v>705160</v>
          </cell>
          <cell r="L24">
            <v>1005240</v>
          </cell>
          <cell r="M24">
            <v>625120</v>
          </cell>
          <cell r="N24">
            <v>223800</v>
          </cell>
          <cell r="O24">
            <v>20080</v>
          </cell>
          <cell r="P24">
            <v>120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>
            <v>400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310320</v>
          </cell>
          <cell r="L25">
            <v>1392960</v>
          </cell>
          <cell r="M25">
            <v>762080</v>
          </cell>
          <cell r="N25">
            <v>157200</v>
          </cell>
          <cell r="O25">
            <v>29480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>
            <v>420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4880</v>
          </cell>
          <cell r="L26">
            <v>2136600</v>
          </cell>
          <cell r="M26">
            <v>811080</v>
          </cell>
          <cell r="N26">
            <v>311120</v>
          </cell>
          <cell r="O26">
            <v>46640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>
            <v>440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1676800</v>
          </cell>
          <cell r="M27">
            <v>902320</v>
          </cell>
          <cell r="N27">
            <v>339920</v>
          </cell>
          <cell r="O27">
            <v>15600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>
            <v>460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651000</v>
          </cell>
          <cell r="M28">
            <v>2113240</v>
          </cell>
          <cell r="N28">
            <v>531280</v>
          </cell>
          <cell r="O28">
            <v>600</v>
          </cell>
          <cell r="P28">
            <v>40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>
            <v>480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30440</v>
          </cell>
          <cell r="M29">
            <v>5024960</v>
          </cell>
          <cell r="N29">
            <v>423800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>
            <v>500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7440</v>
          </cell>
          <cell r="M30">
            <v>12433360</v>
          </cell>
          <cell r="N30">
            <v>472080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>
            <v>520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12468040</v>
          </cell>
          <cell r="N31">
            <v>454160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>
            <v>540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2401280</v>
          </cell>
          <cell r="N32">
            <v>332680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>
            <v>560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285160</v>
          </cell>
          <cell r="N33">
            <v>215240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>
            <v>580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17600</v>
          </cell>
          <cell r="N34">
            <v>73120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600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2320</v>
          </cell>
          <cell r="N35">
            <v>16840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B36">
            <v>620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40</v>
          </cell>
          <cell r="N36">
            <v>160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>
            <v>640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Wave Single Pile"/>
    </sheetNames>
    <sheetDataSet>
      <sheetData sheetId="0">
        <row r="3">
          <cell r="A3">
            <v>0</v>
          </cell>
          <cell r="B3">
            <v>0</v>
          </cell>
        </row>
        <row r="4">
          <cell r="A4">
            <v>1.7223803628068699E-4</v>
          </cell>
          <cell r="B4">
            <v>9.9995999999999992</v>
          </cell>
          <cell r="D4">
            <v>1.64845160103026E-4</v>
          </cell>
          <cell r="E4">
            <v>10</v>
          </cell>
        </row>
        <row r="5">
          <cell r="A5">
            <v>4.09159304496551E-4</v>
          </cell>
          <cell r="B5">
            <v>19.999199999999998</v>
          </cell>
          <cell r="D5">
            <v>3.8333489819057599E-4</v>
          </cell>
          <cell r="E5">
            <v>20</v>
          </cell>
        </row>
        <row r="6">
          <cell r="A6">
            <v>6.8968105234067404E-4</v>
          </cell>
          <cell r="B6">
            <v>29.998799999999999</v>
          </cell>
          <cell r="D6">
            <v>6.3799984797144305E-4</v>
          </cell>
          <cell r="E6">
            <v>30</v>
          </cell>
        </row>
        <row r="7">
          <cell r="A7">
            <v>1.05541600739645E-3</v>
          </cell>
          <cell r="B7">
            <v>39.998399999999997</v>
          </cell>
          <cell r="D7">
            <v>9.2662601429247405E-4</v>
          </cell>
          <cell r="E7">
            <v>40</v>
          </cell>
        </row>
        <row r="8">
          <cell r="A8">
            <v>1.41994429816014E-3</v>
          </cell>
          <cell r="B8">
            <v>49.997999999999998</v>
          </cell>
          <cell r="D8">
            <v>1.24707243288102E-3</v>
          </cell>
          <cell r="E8">
            <v>50</v>
          </cell>
        </row>
        <row r="9">
          <cell r="A9">
            <v>1.8166003957067801E-3</v>
          </cell>
          <cell r="B9">
            <v>59.997599999999998</v>
          </cell>
          <cell r="D9">
            <v>1.5830561445549301E-3</v>
          </cell>
          <cell r="E9">
            <v>60</v>
          </cell>
        </row>
        <row r="10">
          <cell r="A10">
            <v>2.2333256208924299E-3</v>
          </cell>
          <cell r="B10">
            <v>69.997200000000007</v>
          </cell>
          <cell r="D10">
            <v>1.9475552853925201E-3</v>
          </cell>
          <cell r="E10">
            <v>70</v>
          </cell>
        </row>
        <row r="11">
          <cell r="A11">
            <v>2.6743258658809802E-3</v>
          </cell>
          <cell r="B11">
            <v>79.996799999999993</v>
          </cell>
          <cell r="D11">
            <v>2.33523607309968E-3</v>
          </cell>
          <cell r="E11">
            <v>80</v>
          </cell>
        </row>
        <row r="12">
          <cell r="A12">
            <v>3.1307692167024601E-3</v>
          </cell>
          <cell r="B12">
            <v>89.996399999999994</v>
          </cell>
          <cell r="D12">
            <v>2.7321743706412798E-3</v>
          </cell>
          <cell r="E12">
            <v>90</v>
          </cell>
        </row>
        <row r="13">
          <cell r="A13">
            <v>3.5987373076418199E-3</v>
          </cell>
          <cell r="B13">
            <v>99.995999999999995</v>
          </cell>
          <cell r="D13">
            <v>3.14690019170541E-3</v>
          </cell>
          <cell r="E13">
            <v>100</v>
          </cell>
        </row>
        <row r="14">
          <cell r="A14">
            <v>4.0799112471276303E-3</v>
          </cell>
          <cell r="B14">
            <v>109.9956</v>
          </cell>
          <cell r="D14">
            <v>3.58676666314507E-3</v>
          </cell>
          <cell r="E14">
            <v>110</v>
          </cell>
        </row>
        <row r="15">
          <cell r="A15">
            <v>4.5772187154678899E-3</v>
          </cell>
          <cell r="B15">
            <v>119.9952</v>
          </cell>
          <cell r="D15">
            <v>4.0335861493378403E-3</v>
          </cell>
          <cell r="E15">
            <v>120</v>
          </cell>
        </row>
        <row r="16">
          <cell r="A16">
            <v>5.0845908992861897E-3</v>
          </cell>
          <cell r="B16">
            <v>129.9948</v>
          </cell>
          <cell r="D16">
            <v>4.48655098628962E-3</v>
          </cell>
          <cell r="E16">
            <v>130</v>
          </cell>
        </row>
        <row r="17">
          <cell r="A17">
            <v>5.6039316153948396E-3</v>
          </cell>
          <cell r="B17">
            <v>139.99440000000001</v>
          </cell>
          <cell r="D17">
            <v>4.9516148169742999E-3</v>
          </cell>
          <cell r="E17">
            <v>140</v>
          </cell>
        </row>
        <row r="18">
          <cell r="A18">
            <v>6.1210072937517004E-3</v>
          </cell>
          <cell r="B18">
            <v>149.994</v>
          </cell>
          <cell r="D18">
            <v>5.4266776793497999E-3</v>
          </cell>
          <cell r="E18">
            <v>150</v>
          </cell>
        </row>
        <row r="19">
          <cell r="A19">
            <v>6.64228699217893E-3</v>
          </cell>
          <cell r="B19">
            <v>159.99359999999999</v>
          </cell>
          <cell r="D19">
            <v>5.9087410876771697E-3</v>
          </cell>
          <cell r="E19">
            <v>160</v>
          </cell>
        </row>
        <row r="20">
          <cell r="A20">
            <v>7.1914917635829897E-3</v>
          </cell>
          <cell r="B20">
            <v>169.9932</v>
          </cell>
          <cell r="D20">
            <v>6.39832105726459E-3</v>
          </cell>
          <cell r="E20">
            <v>170</v>
          </cell>
        </row>
        <row r="21">
          <cell r="A21">
            <v>7.7284043820053097E-3</v>
          </cell>
          <cell r="B21">
            <v>179.99279999999999</v>
          </cell>
          <cell r="D21">
            <v>6.9026116121996004E-3</v>
          </cell>
          <cell r="E21">
            <v>180</v>
          </cell>
        </row>
        <row r="22">
          <cell r="A22">
            <v>8.2672063820620392E-3</v>
          </cell>
          <cell r="B22">
            <v>189.9924</v>
          </cell>
          <cell r="D22">
            <v>7.40393561256859E-3</v>
          </cell>
          <cell r="E22">
            <v>190</v>
          </cell>
        </row>
        <row r="23">
          <cell r="A23">
            <v>8.8178679588264506E-3</v>
          </cell>
          <cell r="B23">
            <v>199.99199999999999</v>
          </cell>
          <cell r="D23">
            <v>7.9152969116188902E-3</v>
          </cell>
          <cell r="E23">
            <v>200</v>
          </cell>
        </row>
        <row r="24">
          <cell r="A24">
            <v>9.4733986818926301E-3</v>
          </cell>
          <cell r="B24">
            <v>209.99160000000001</v>
          </cell>
          <cell r="D24">
            <v>8.4492072849401498E-3</v>
          </cell>
          <cell r="E24">
            <v>210</v>
          </cell>
        </row>
        <row r="25">
          <cell r="A25">
            <v>9.9658786770814405E-3</v>
          </cell>
          <cell r="B25">
            <v>219.99119999999999</v>
          </cell>
          <cell r="D25">
            <v>8.9702942545966096E-3</v>
          </cell>
          <cell r="E25">
            <v>220</v>
          </cell>
        </row>
        <row r="26">
          <cell r="A26">
            <v>1.05594374297577E-2</v>
          </cell>
          <cell r="B26">
            <v>229.99080000000001</v>
          </cell>
          <cell r="D26">
            <v>9.5030427271521108E-3</v>
          </cell>
          <cell r="E26">
            <v>230</v>
          </cell>
        </row>
        <row r="27">
          <cell r="A27">
            <v>1.1127660926180101E-2</v>
          </cell>
          <cell r="B27">
            <v>239.99039999999999</v>
          </cell>
          <cell r="D27">
            <v>1.0046753310981E-2</v>
          </cell>
          <cell r="E27">
            <v>240</v>
          </cell>
        </row>
        <row r="28">
          <cell r="A28">
            <v>1.17492988382304E-2</v>
          </cell>
          <cell r="B28">
            <v>249.99</v>
          </cell>
          <cell r="D28">
            <v>1.0589766947408E-2</v>
          </cell>
          <cell r="E28">
            <v>250</v>
          </cell>
        </row>
        <row r="29">
          <cell r="A29">
            <v>1.23012426031063E-2</v>
          </cell>
          <cell r="B29">
            <v>259.9896</v>
          </cell>
          <cell r="D29">
            <v>1.1139132425156699E-2</v>
          </cell>
          <cell r="E29">
            <v>260</v>
          </cell>
        </row>
        <row r="30">
          <cell r="A30">
            <v>1.28450043915061E-2</v>
          </cell>
          <cell r="B30">
            <v>269.98919999999998</v>
          </cell>
          <cell r="D30">
            <v>1.1695777500450101E-2</v>
          </cell>
          <cell r="E30">
            <v>270</v>
          </cell>
        </row>
        <row r="31">
          <cell r="A31">
            <v>1.3558501394210099E-2</v>
          </cell>
          <cell r="B31">
            <v>279.98880000000003</v>
          </cell>
          <cell r="D31">
            <v>1.22711508417773E-2</v>
          </cell>
          <cell r="E31">
            <v>280</v>
          </cell>
        </row>
        <row r="32">
          <cell r="A32">
            <v>1.4146372001731499E-2</v>
          </cell>
          <cell r="B32">
            <v>289.98840000000001</v>
          </cell>
          <cell r="D32">
            <v>1.28429679507642E-2</v>
          </cell>
          <cell r="E32">
            <v>290</v>
          </cell>
        </row>
        <row r="33">
          <cell r="A33">
            <v>1.46720519747031E-2</v>
          </cell>
          <cell r="B33">
            <v>299.988</v>
          </cell>
          <cell r="D33">
            <v>1.3413317899796899E-2</v>
          </cell>
          <cell r="E33">
            <v>300</v>
          </cell>
        </row>
        <row r="34">
          <cell r="A34">
            <v>1.5396416211291701E-2</v>
          </cell>
          <cell r="B34">
            <v>309.98759999999999</v>
          </cell>
          <cell r="D34">
            <v>1.39914839362384E-2</v>
          </cell>
          <cell r="E34">
            <v>310</v>
          </cell>
        </row>
        <row r="35">
          <cell r="A35">
            <v>1.59352878385518E-2</v>
          </cell>
          <cell r="B35">
            <v>319.98719999999997</v>
          </cell>
          <cell r="D35">
            <v>1.4573255058250601E-2</v>
          </cell>
          <cell r="E35">
            <v>320</v>
          </cell>
        </row>
        <row r="36">
          <cell r="A36">
            <v>1.66799385611371E-2</v>
          </cell>
          <cell r="B36">
            <v>329.98680000000002</v>
          </cell>
          <cell r="D36">
            <v>1.5159611952904099E-2</v>
          </cell>
          <cell r="E36">
            <v>330</v>
          </cell>
        </row>
        <row r="37">
          <cell r="A37">
            <v>1.7202795438894001E-2</v>
          </cell>
          <cell r="B37">
            <v>339.9864</v>
          </cell>
          <cell r="D37">
            <v>1.5754566708178899E-2</v>
          </cell>
          <cell r="E37">
            <v>340</v>
          </cell>
        </row>
        <row r="38">
          <cell r="A38">
            <v>1.7958877974144801E-2</v>
          </cell>
          <cell r="B38">
            <v>349.98599999999999</v>
          </cell>
          <cell r="D38">
            <v>1.6353418458388402E-2</v>
          </cell>
          <cell r="E38">
            <v>350</v>
          </cell>
        </row>
        <row r="39">
          <cell r="A39">
            <v>1.8382736495762102E-2</v>
          </cell>
          <cell r="B39">
            <v>359.98559999999998</v>
          </cell>
          <cell r="D39">
            <v>1.6961302133634198E-2</v>
          </cell>
          <cell r="E39">
            <v>360</v>
          </cell>
        </row>
        <row r="40">
          <cell r="A40">
            <v>1.9254918500177801E-2</v>
          </cell>
          <cell r="B40">
            <v>369.98520000000002</v>
          </cell>
          <cell r="D40">
            <v>1.7573450373038799E-2</v>
          </cell>
          <cell r="E40">
            <v>370</v>
          </cell>
        </row>
        <row r="41">
          <cell r="A41">
            <v>1.97907519627404E-2</v>
          </cell>
          <cell r="B41">
            <v>379.98480000000001</v>
          </cell>
          <cell r="D41">
            <v>1.81889044985576E-2</v>
          </cell>
          <cell r="E41">
            <v>380</v>
          </cell>
        </row>
        <row r="42">
          <cell r="A42">
            <v>2.05000510357458E-2</v>
          </cell>
          <cell r="B42">
            <v>389.98439999999999</v>
          </cell>
          <cell r="D42">
            <v>1.8808853297473602E-2</v>
          </cell>
          <cell r="E42">
            <v>390</v>
          </cell>
        </row>
        <row r="43">
          <cell r="D43">
            <v>1.9434403917261599E-2</v>
          </cell>
          <cell r="E43">
            <v>400</v>
          </cell>
        </row>
        <row r="44">
          <cell r="D44">
            <v>2.0063781865281301E-2</v>
          </cell>
          <cell r="E44">
            <v>410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3D40-42D5-4EBC-8B39-5C563D50ED87}">
  <dimension ref="A1:F5"/>
  <sheetViews>
    <sheetView workbookViewId="0">
      <selection activeCell="G5" sqref="G5"/>
    </sheetView>
  </sheetViews>
  <sheetFormatPr defaultRowHeight="15" x14ac:dyDescent="0.25"/>
  <cols>
    <col min="1" max="1" width="13.5703125" bestFit="1" customWidth="1"/>
    <col min="2" max="2" width="38.7109375" bestFit="1" customWidth="1"/>
    <col min="3" max="3" width="20.7109375" bestFit="1" customWidth="1"/>
    <col min="5" max="5" width="15.140625" bestFit="1" customWidth="1"/>
    <col min="6" max="6" width="12.5703125" bestFit="1" customWidth="1"/>
  </cols>
  <sheetData>
    <row r="1" spans="1:6" x14ac:dyDescent="0.25">
      <c r="A1" s="7" t="s">
        <v>7</v>
      </c>
      <c r="B1" s="11" t="s">
        <v>8</v>
      </c>
      <c r="C1" s="7" t="s">
        <v>9</v>
      </c>
      <c r="D1" s="7" t="s">
        <v>10</v>
      </c>
      <c r="E1" s="7" t="s">
        <v>11</v>
      </c>
      <c r="F1" s="7" t="s">
        <v>12</v>
      </c>
    </row>
    <row r="2" spans="1:6" x14ac:dyDescent="0.25">
      <c r="A2" s="8" t="s">
        <v>13</v>
      </c>
      <c r="B2" s="12" t="s">
        <v>13</v>
      </c>
      <c r="C2" s="8" t="s">
        <v>14</v>
      </c>
      <c r="D2" s="8" t="s">
        <v>15</v>
      </c>
      <c r="E2" s="8" t="s">
        <v>15</v>
      </c>
      <c r="F2" s="8" t="s">
        <v>15</v>
      </c>
    </row>
    <row r="3" spans="1:6" x14ac:dyDescent="0.25">
      <c r="A3" s="3">
        <v>1</v>
      </c>
      <c r="B3" t="s">
        <v>16</v>
      </c>
      <c r="C3" s="10">
        <v>33.729999999999997</v>
      </c>
      <c r="D3" s="9">
        <v>760</v>
      </c>
      <c r="E3" s="9">
        <f>D3*COS(RADIANS(C3))</f>
        <v>632.0642541012046</v>
      </c>
      <c r="F3" s="9">
        <f>D3*SIN(RADIANS(C3))</f>
        <v>422.01277076350163</v>
      </c>
    </row>
    <row r="4" spans="1:6" x14ac:dyDescent="0.25">
      <c r="A4" s="3">
        <v>2</v>
      </c>
      <c r="B4" t="s">
        <v>17</v>
      </c>
      <c r="C4">
        <v>58.8</v>
      </c>
      <c r="D4" s="9">
        <v>760</v>
      </c>
      <c r="E4" s="9">
        <f t="shared" ref="E4:E5" si="0">D4*COS(RADIANS(C4))</f>
        <v>393.70052712357904</v>
      </c>
      <c r="F4" s="9">
        <f t="shared" ref="F4:F5" si="1">D4*SIN(RADIANS(C4))</f>
        <v>650.07683772198504</v>
      </c>
    </row>
    <row r="5" spans="1:6" x14ac:dyDescent="0.25">
      <c r="A5" s="3">
        <v>3</v>
      </c>
      <c r="B5" t="s">
        <v>18</v>
      </c>
      <c r="C5">
        <v>45.8</v>
      </c>
      <c r="D5">
        <v>907</v>
      </c>
      <c r="E5" s="9">
        <f t="shared" si="0"/>
        <v>632.32874828909007</v>
      </c>
      <c r="F5" s="9">
        <f t="shared" si="1"/>
        <v>650.23792113898787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B0BD-96A1-4DB8-84AB-D41F1D34DD9D}">
  <dimension ref="D6:E11"/>
  <sheetViews>
    <sheetView tabSelected="1" zoomScale="130" zoomScaleNormal="130" workbookViewId="0">
      <selection activeCell="M9" sqref="M9"/>
    </sheetView>
  </sheetViews>
  <sheetFormatPr defaultRowHeight="15" x14ac:dyDescent="0.25"/>
  <sheetData>
    <row r="6" spans="4:5" x14ac:dyDescent="0.25">
      <c r="D6">
        <v>20</v>
      </c>
      <c r="E6">
        <v>25</v>
      </c>
    </row>
    <row r="7" spans="4:5" x14ac:dyDescent="0.25">
      <c r="D7">
        <v>40</v>
      </c>
      <c r="E7">
        <v>30</v>
      </c>
    </row>
    <row r="8" spans="4:5" x14ac:dyDescent="0.25">
      <c r="D8">
        <v>80</v>
      </c>
      <c r="E8">
        <v>35</v>
      </c>
    </row>
    <row r="9" spans="4:5" x14ac:dyDescent="0.25">
      <c r="D9">
        <v>165</v>
      </c>
      <c r="E9">
        <v>40</v>
      </c>
    </row>
    <row r="10" spans="4:5" x14ac:dyDescent="0.25">
      <c r="D10">
        <f>0.5931*EXP(0.1405*E10)</f>
        <v>921.27422583925102</v>
      </c>
      <c r="E10">
        <v>52.3</v>
      </c>
    </row>
    <row r="11" spans="4:5" x14ac:dyDescent="0.25">
      <c r="D11">
        <f>0.0333*E10^3 - 2.6*E10^2 +71.167*E10 -655</f>
        <v>719.03381110000009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0A33-F83F-4DA1-9B80-7926A1E9AC2E}">
  <dimension ref="A3:Y37"/>
  <sheetViews>
    <sheetView workbookViewId="0">
      <selection activeCell="F30" sqref="F30"/>
    </sheetView>
  </sheetViews>
  <sheetFormatPr defaultRowHeight="15" x14ac:dyDescent="0.25"/>
  <sheetData>
    <row r="3" spans="1:25" ht="18.75" x14ac:dyDescent="0.3">
      <c r="A3" s="1" t="s">
        <v>0</v>
      </c>
    </row>
    <row r="4" spans="1:25" x14ac:dyDescent="0.25">
      <c r="B4" s="2" t="s">
        <v>1</v>
      </c>
    </row>
    <row r="5" spans="1:25" x14ac:dyDescent="0.25">
      <c r="A5" s="13" t="s">
        <v>2</v>
      </c>
      <c r="C5">
        <v>120</v>
      </c>
      <c r="D5">
        <v>150</v>
      </c>
      <c r="E5">
        <v>180</v>
      </c>
      <c r="F5">
        <v>210</v>
      </c>
      <c r="G5">
        <v>240</v>
      </c>
      <c r="H5">
        <v>270</v>
      </c>
      <c r="I5">
        <v>300</v>
      </c>
      <c r="J5">
        <v>330</v>
      </c>
      <c r="K5">
        <v>360</v>
      </c>
      <c r="L5">
        <v>390</v>
      </c>
      <c r="M5">
        <v>420</v>
      </c>
      <c r="N5">
        <v>450</v>
      </c>
      <c r="O5">
        <v>480</v>
      </c>
      <c r="P5">
        <v>510</v>
      </c>
      <c r="Q5">
        <v>540</v>
      </c>
      <c r="R5">
        <v>570</v>
      </c>
      <c r="S5">
        <v>600</v>
      </c>
      <c r="T5">
        <v>630</v>
      </c>
      <c r="U5">
        <v>660</v>
      </c>
      <c r="V5">
        <v>690</v>
      </c>
      <c r="W5">
        <v>720</v>
      </c>
      <c r="X5">
        <v>750</v>
      </c>
      <c r="Y5">
        <v>780</v>
      </c>
    </row>
    <row r="6" spans="1:25" x14ac:dyDescent="0.25">
      <c r="A6" s="13"/>
      <c r="B6">
        <v>20</v>
      </c>
      <c r="C6">
        <v>0</v>
      </c>
      <c r="D6">
        <v>167840</v>
      </c>
      <c r="E6">
        <v>49731400</v>
      </c>
      <c r="F6">
        <v>13391520</v>
      </c>
      <c r="G6">
        <v>365920</v>
      </c>
      <c r="H6">
        <v>282000</v>
      </c>
      <c r="I6">
        <v>435800</v>
      </c>
      <c r="J6">
        <v>530880</v>
      </c>
      <c r="K6">
        <v>766440</v>
      </c>
      <c r="L6">
        <v>909280</v>
      </c>
      <c r="M6">
        <v>955720</v>
      </c>
      <c r="N6">
        <v>778560</v>
      </c>
      <c r="O6">
        <v>379640</v>
      </c>
      <c r="P6">
        <v>371920</v>
      </c>
      <c r="Q6">
        <v>236320</v>
      </c>
      <c r="R6">
        <v>223720</v>
      </c>
      <c r="S6">
        <v>139920</v>
      </c>
      <c r="T6">
        <v>2146640</v>
      </c>
      <c r="U6">
        <v>31984880</v>
      </c>
      <c r="V6">
        <v>9172040</v>
      </c>
      <c r="W6">
        <v>204560</v>
      </c>
      <c r="X6">
        <v>120</v>
      </c>
      <c r="Y6">
        <v>0</v>
      </c>
    </row>
    <row r="7" spans="1:25" x14ac:dyDescent="0.25">
      <c r="A7" s="13"/>
      <c r="B7">
        <v>40</v>
      </c>
      <c r="C7">
        <v>0</v>
      </c>
      <c r="D7">
        <v>0</v>
      </c>
      <c r="E7">
        <v>162200</v>
      </c>
      <c r="F7">
        <v>373680</v>
      </c>
      <c r="G7">
        <v>75280</v>
      </c>
      <c r="H7">
        <v>130960</v>
      </c>
      <c r="I7">
        <v>89000</v>
      </c>
      <c r="J7">
        <v>242520</v>
      </c>
      <c r="K7">
        <v>380840</v>
      </c>
      <c r="L7">
        <v>576440</v>
      </c>
      <c r="M7">
        <v>389640</v>
      </c>
      <c r="N7">
        <v>290640</v>
      </c>
      <c r="O7">
        <v>213480</v>
      </c>
      <c r="P7">
        <v>155000</v>
      </c>
      <c r="Q7">
        <v>41160</v>
      </c>
      <c r="R7">
        <v>20720</v>
      </c>
      <c r="S7">
        <v>49080</v>
      </c>
      <c r="T7">
        <v>913120</v>
      </c>
      <c r="U7">
        <v>4227520</v>
      </c>
      <c r="V7">
        <v>647680</v>
      </c>
      <c r="W7">
        <v>13840</v>
      </c>
      <c r="X7">
        <v>0</v>
      </c>
      <c r="Y7">
        <v>0</v>
      </c>
    </row>
    <row r="8" spans="1:25" x14ac:dyDescent="0.25">
      <c r="A8" s="13"/>
      <c r="B8">
        <v>60</v>
      </c>
      <c r="C8">
        <v>0</v>
      </c>
      <c r="D8">
        <v>0</v>
      </c>
      <c r="E8">
        <v>23320</v>
      </c>
      <c r="F8">
        <v>109760</v>
      </c>
      <c r="G8">
        <v>45480</v>
      </c>
      <c r="H8">
        <v>71760</v>
      </c>
      <c r="I8">
        <v>91440</v>
      </c>
      <c r="J8">
        <v>218520</v>
      </c>
      <c r="K8">
        <v>368360</v>
      </c>
      <c r="L8">
        <v>340560</v>
      </c>
      <c r="M8">
        <v>588720</v>
      </c>
      <c r="N8">
        <v>187720</v>
      </c>
      <c r="O8">
        <v>173520</v>
      </c>
      <c r="P8">
        <v>65080</v>
      </c>
      <c r="Q8">
        <v>62160</v>
      </c>
      <c r="R8">
        <v>66920</v>
      </c>
      <c r="S8">
        <v>13600</v>
      </c>
      <c r="T8">
        <v>102040</v>
      </c>
      <c r="U8">
        <v>153200</v>
      </c>
      <c r="V8">
        <v>14160</v>
      </c>
      <c r="W8">
        <v>1040</v>
      </c>
      <c r="X8">
        <v>0</v>
      </c>
      <c r="Y8">
        <v>0</v>
      </c>
    </row>
    <row r="9" spans="1:25" x14ac:dyDescent="0.25">
      <c r="A9" s="13"/>
      <c r="B9">
        <v>80</v>
      </c>
      <c r="C9">
        <v>0</v>
      </c>
      <c r="D9">
        <v>0</v>
      </c>
      <c r="E9">
        <v>7400</v>
      </c>
      <c r="F9">
        <v>51440</v>
      </c>
      <c r="G9">
        <v>34160</v>
      </c>
      <c r="H9">
        <v>20200</v>
      </c>
      <c r="I9">
        <v>144120</v>
      </c>
      <c r="J9">
        <v>151000</v>
      </c>
      <c r="K9">
        <v>267360</v>
      </c>
      <c r="L9">
        <v>542760</v>
      </c>
      <c r="M9">
        <v>572680</v>
      </c>
      <c r="N9">
        <v>274080</v>
      </c>
      <c r="O9">
        <v>88680</v>
      </c>
      <c r="P9">
        <v>105920</v>
      </c>
      <c r="Q9">
        <v>19520</v>
      </c>
      <c r="R9">
        <v>5240</v>
      </c>
      <c r="S9">
        <v>5040</v>
      </c>
      <c r="T9">
        <v>25480</v>
      </c>
      <c r="U9">
        <v>37120</v>
      </c>
      <c r="V9">
        <v>2280</v>
      </c>
      <c r="W9">
        <v>0</v>
      </c>
      <c r="X9">
        <v>0</v>
      </c>
      <c r="Y9">
        <v>0</v>
      </c>
    </row>
    <row r="10" spans="1:25" x14ac:dyDescent="0.25">
      <c r="A10" s="13"/>
      <c r="B10">
        <v>100</v>
      </c>
      <c r="C10">
        <v>0</v>
      </c>
      <c r="D10">
        <v>0</v>
      </c>
      <c r="E10">
        <v>40</v>
      </c>
      <c r="F10">
        <v>13360</v>
      </c>
      <c r="G10">
        <v>30360</v>
      </c>
      <c r="H10">
        <v>32400</v>
      </c>
      <c r="I10">
        <v>77600</v>
      </c>
      <c r="J10">
        <v>149880</v>
      </c>
      <c r="K10">
        <v>244480</v>
      </c>
      <c r="L10">
        <v>506040</v>
      </c>
      <c r="M10">
        <v>366040</v>
      </c>
      <c r="N10">
        <v>194800</v>
      </c>
      <c r="O10">
        <v>88840</v>
      </c>
      <c r="P10">
        <v>34920</v>
      </c>
      <c r="Q10">
        <v>26640</v>
      </c>
      <c r="R10">
        <v>2480</v>
      </c>
      <c r="S10">
        <v>1160</v>
      </c>
      <c r="T10">
        <v>7200</v>
      </c>
      <c r="U10">
        <v>3240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3"/>
      <c r="B11">
        <v>120</v>
      </c>
      <c r="C11">
        <v>0</v>
      </c>
      <c r="D11">
        <v>0</v>
      </c>
      <c r="E11">
        <v>0</v>
      </c>
      <c r="F11">
        <v>0</v>
      </c>
      <c r="G11">
        <v>22240</v>
      </c>
      <c r="H11">
        <v>14800</v>
      </c>
      <c r="I11">
        <v>95440</v>
      </c>
      <c r="J11">
        <v>147600</v>
      </c>
      <c r="K11">
        <v>299200</v>
      </c>
      <c r="L11">
        <v>604200</v>
      </c>
      <c r="M11">
        <v>410840</v>
      </c>
      <c r="N11">
        <v>170680</v>
      </c>
      <c r="O11">
        <v>44600</v>
      </c>
      <c r="P11">
        <v>33840</v>
      </c>
      <c r="Q11">
        <v>3640</v>
      </c>
      <c r="R11">
        <v>8120</v>
      </c>
      <c r="S11">
        <v>13000</v>
      </c>
      <c r="T11">
        <v>4560</v>
      </c>
      <c r="U11">
        <v>880</v>
      </c>
      <c r="V11">
        <v>80</v>
      </c>
      <c r="W11">
        <v>0</v>
      </c>
      <c r="X11">
        <v>0</v>
      </c>
      <c r="Y11">
        <v>0</v>
      </c>
    </row>
    <row r="12" spans="1:25" x14ac:dyDescent="0.25">
      <c r="A12" s="13"/>
      <c r="B12">
        <v>140</v>
      </c>
      <c r="C12">
        <v>0</v>
      </c>
      <c r="D12">
        <v>0</v>
      </c>
      <c r="E12">
        <v>0</v>
      </c>
      <c r="F12">
        <v>0</v>
      </c>
      <c r="G12">
        <v>23440</v>
      </c>
      <c r="H12">
        <v>27480</v>
      </c>
      <c r="I12">
        <v>81200</v>
      </c>
      <c r="J12">
        <v>134320</v>
      </c>
      <c r="K12">
        <v>211720</v>
      </c>
      <c r="L12">
        <v>716440</v>
      </c>
      <c r="M12">
        <v>428440</v>
      </c>
      <c r="N12">
        <v>133160</v>
      </c>
      <c r="O12">
        <v>97800</v>
      </c>
      <c r="P12">
        <v>41920</v>
      </c>
      <c r="Q12">
        <v>11640</v>
      </c>
      <c r="R12">
        <v>1680</v>
      </c>
      <c r="S12">
        <v>680</v>
      </c>
      <c r="T12">
        <v>40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3"/>
      <c r="B13">
        <v>160</v>
      </c>
      <c r="C13">
        <v>0</v>
      </c>
      <c r="D13">
        <v>0</v>
      </c>
      <c r="E13">
        <v>0</v>
      </c>
      <c r="F13">
        <v>0</v>
      </c>
      <c r="G13">
        <v>23360</v>
      </c>
      <c r="H13">
        <v>54520</v>
      </c>
      <c r="I13">
        <v>30560</v>
      </c>
      <c r="J13">
        <v>84360</v>
      </c>
      <c r="K13">
        <v>275200</v>
      </c>
      <c r="L13">
        <v>471880</v>
      </c>
      <c r="M13">
        <v>371080</v>
      </c>
      <c r="N13">
        <v>155240</v>
      </c>
      <c r="O13">
        <v>72520</v>
      </c>
      <c r="P13">
        <v>15960</v>
      </c>
      <c r="Q13">
        <v>7640</v>
      </c>
      <c r="R13">
        <v>3120</v>
      </c>
      <c r="S13">
        <v>1320</v>
      </c>
      <c r="T13">
        <v>360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3"/>
      <c r="B14">
        <v>180</v>
      </c>
      <c r="C14">
        <v>0</v>
      </c>
      <c r="D14">
        <v>0</v>
      </c>
      <c r="E14">
        <v>0</v>
      </c>
      <c r="F14">
        <v>0</v>
      </c>
      <c r="G14">
        <v>0</v>
      </c>
      <c r="H14">
        <v>13160</v>
      </c>
      <c r="I14">
        <v>60680</v>
      </c>
      <c r="J14">
        <v>55680</v>
      </c>
      <c r="K14">
        <v>203480</v>
      </c>
      <c r="L14">
        <v>591640</v>
      </c>
      <c r="M14">
        <v>482680</v>
      </c>
      <c r="N14">
        <v>114720</v>
      </c>
      <c r="O14">
        <v>55240</v>
      </c>
      <c r="P14">
        <v>29360</v>
      </c>
      <c r="Q14">
        <v>24760</v>
      </c>
      <c r="R14">
        <v>2520</v>
      </c>
      <c r="S14">
        <v>3520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3"/>
      <c r="B15">
        <v>200</v>
      </c>
      <c r="C15">
        <v>0</v>
      </c>
      <c r="D15">
        <v>0</v>
      </c>
      <c r="E15">
        <v>0</v>
      </c>
      <c r="F15">
        <v>0</v>
      </c>
      <c r="G15">
        <v>0</v>
      </c>
      <c r="H15">
        <v>11000</v>
      </c>
      <c r="I15">
        <v>54080</v>
      </c>
      <c r="J15">
        <v>78880</v>
      </c>
      <c r="K15">
        <v>218440</v>
      </c>
      <c r="L15">
        <v>721240</v>
      </c>
      <c r="M15">
        <v>613280</v>
      </c>
      <c r="N15">
        <v>159160</v>
      </c>
      <c r="O15">
        <v>26360</v>
      </c>
      <c r="P15">
        <v>6240</v>
      </c>
      <c r="Q15">
        <v>6560</v>
      </c>
      <c r="R15">
        <v>11000</v>
      </c>
      <c r="S15">
        <v>1320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3"/>
      <c r="B16">
        <v>220</v>
      </c>
      <c r="C16">
        <v>0</v>
      </c>
      <c r="D16">
        <v>0</v>
      </c>
      <c r="E16">
        <v>0</v>
      </c>
      <c r="F16">
        <v>0</v>
      </c>
      <c r="G16">
        <v>0</v>
      </c>
      <c r="H16">
        <v>3520</v>
      </c>
      <c r="I16">
        <v>49760</v>
      </c>
      <c r="J16">
        <v>64120</v>
      </c>
      <c r="K16">
        <v>278160</v>
      </c>
      <c r="L16">
        <v>778320</v>
      </c>
      <c r="M16">
        <v>567800</v>
      </c>
      <c r="N16">
        <v>165560</v>
      </c>
      <c r="O16">
        <v>19600</v>
      </c>
      <c r="P16">
        <v>960</v>
      </c>
      <c r="Q16">
        <v>8840</v>
      </c>
      <c r="R16">
        <v>6880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3"/>
      <c r="B17">
        <v>240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70440</v>
      </c>
      <c r="J17">
        <v>106600</v>
      </c>
      <c r="K17">
        <v>260640</v>
      </c>
      <c r="L17">
        <v>982200</v>
      </c>
      <c r="M17">
        <v>666640</v>
      </c>
      <c r="N17">
        <v>79160</v>
      </c>
      <c r="O17">
        <v>13480</v>
      </c>
      <c r="P17">
        <v>2120</v>
      </c>
      <c r="Q17">
        <v>5520</v>
      </c>
      <c r="R17">
        <v>4520</v>
      </c>
      <c r="S17">
        <v>40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B18">
        <v>260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11640</v>
      </c>
      <c r="J18">
        <v>79600</v>
      </c>
      <c r="K18">
        <v>227120</v>
      </c>
      <c r="L18">
        <v>853680</v>
      </c>
      <c r="M18">
        <v>675360</v>
      </c>
      <c r="N18">
        <v>85840</v>
      </c>
      <c r="O18">
        <v>57160</v>
      </c>
      <c r="P18">
        <v>1600</v>
      </c>
      <c r="Q18">
        <v>10600</v>
      </c>
      <c r="R18">
        <v>1120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B19">
        <v>280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11800</v>
      </c>
      <c r="J19">
        <v>133960</v>
      </c>
      <c r="K19">
        <v>341440</v>
      </c>
      <c r="L19">
        <v>812800</v>
      </c>
      <c r="M19">
        <v>718640</v>
      </c>
      <c r="N19">
        <v>134600</v>
      </c>
      <c r="O19">
        <v>43720</v>
      </c>
      <c r="P19">
        <v>10880</v>
      </c>
      <c r="Q19">
        <v>4000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B20">
        <v>300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1640</v>
      </c>
      <c r="J20">
        <v>68120</v>
      </c>
      <c r="K20">
        <v>314840</v>
      </c>
      <c r="L20">
        <v>738720</v>
      </c>
      <c r="M20">
        <v>695360</v>
      </c>
      <c r="N20">
        <v>216720</v>
      </c>
      <c r="O20">
        <v>13080</v>
      </c>
      <c r="P20">
        <v>11400</v>
      </c>
      <c r="Q20">
        <v>2320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B21">
        <v>320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59040</v>
      </c>
      <c r="K21">
        <v>310120</v>
      </c>
      <c r="L21">
        <v>991960</v>
      </c>
      <c r="M21">
        <v>809800</v>
      </c>
      <c r="N21">
        <v>202240</v>
      </c>
      <c r="O21">
        <v>65720</v>
      </c>
      <c r="P21">
        <v>7720</v>
      </c>
      <c r="Q21">
        <v>16960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B22">
        <v>340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37880</v>
      </c>
      <c r="K22">
        <v>443360</v>
      </c>
      <c r="L22">
        <v>704920</v>
      </c>
      <c r="M22">
        <v>612880</v>
      </c>
      <c r="N22">
        <v>253480</v>
      </c>
      <c r="O22">
        <v>36720</v>
      </c>
      <c r="P22">
        <v>3200</v>
      </c>
      <c r="Q22">
        <v>40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B23">
        <v>360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800</v>
      </c>
      <c r="K23">
        <v>574920</v>
      </c>
      <c r="L23">
        <v>741600</v>
      </c>
      <c r="M23">
        <v>569800</v>
      </c>
      <c r="N23">
        <v>143720</v>
      </c>
      <c r="O23">
        <v>25320</v>
      </c>
      <c r="P23">
        <v>1920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B24">
        <v>380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5640</v>
      </c>
      <c r="K24">
        <v>705160</v>
      </c>
      <c r="L24">
        <v>1005240</v>
      </c>
      <c r="M24">
        <v>625120</v>
      </c>
      <c r="N24">
        <v>223800</v>
      </c>
      <c r="O24">
        <v>20080</v>
      </c>
      <c r="P24">
        <v>120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B25">
        <v>400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310320</v>
      </c>
      <c r="L25">
        <v>1392960</v>
      </c>
      <c r="M25">
        <v>762080</v>
      </c>
      <c r="N25">
        <v>157200</v>
      </c>
      <c r="O25">
        <v>29480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B26">
        <v>420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4880</v>
      </c>
      <c r="L26">
        <v>2136600</v>
      </c>
      <c r="M26">
        <v>811080</v>
      </c>
      <c r="N26">
        <v>311120</v>
      </c>
      <c r="O26">
        <v>46640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B27">
        <v>440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1676800</v>
      </c>
      <c r="M27">
        <v>902320</v>
      </c>
      <c r="N27">
        <v>339920</v>
      </c>
      <c r="O27">
        <v>15600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B28">
        <v>460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651000</v>
      </c>
      <c r="M28">
        <v>2113240</v>
      </c>
      <c r="N28">
        <v>531280</v>
      </c>
      <c r="O28">
        <v>600</v>
      </c>
      <c r="P28">
        <v>40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B29">
        <v>480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30440</v>
      </c>
      <c r="M29">
        <v>5024960</v>
      </c>
      <c r="N29">
        <v>423800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B30">
        <v>500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7440</v>
      </c>
      <c r="M30">
        <v>12433360</v>
      </c>
      <c r="N30">
        <v>472080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B31">
        <v>520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12468040</v>
      </c>
      <c r="N31">
        <v>454160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B32">
        <v>540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2401280</v>
      </c>
      <c r="N32">
        <v>332680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2:25" x14ac:dyDescent="0.25">
      <c r="B33">
        <v>560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285160</v>
      </c>
      <c r="N33">
        <v>215240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2:25" x14ac:dyDescent="0.25">
      <c r="B34">
        <v>580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17600</v>
      </c>
      <c r="N34">
        <v>73120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2:25" x14ac:dyDescent="0.25">
      <c r="B35">
        <v>600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2320</v>
      </c>
      <c r="N35">
        <v>16840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2:25" x14ac:dyDescent="0.25">
      <c r="B36">
        <v>620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40</v>
      </c>
      <c r="N36">
        <v>160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2:25" x14ac:dyDescent="0.25">
      <c r="B37">
        <v>640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</sheetData>
  <mergeCells count="1">
    <mergeCell ref="A5:A17"/>
  </mergeCells>
  <conditionalFormatting sqref="C6:N1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T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Y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AP4 Z6:AP39 AA5:AP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X11 G12:T18 I19:Q27 K28:P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3756-9B4D-41D2-A968-4ADCBE473A53}">
  <dimension ref="A1:P416"/>
  <sheetViews>
    <sheetView workbookViewId="0">
      <selection activeCell="Q12" sqref="Q12"/>
    </sheetView>
  </sheetViews>
  <sheetFormatPr defaultRowHeight="15" x14ac:dyDescent="0.25"/>
  <cols>
    <col min="1" max="1" width="18.140625" customWidth="1"/>
    <col min="4" max="4" width="15.28515625" bestFit="1" customWidth="1"/>
    <col min="15" max="15" width="22" customWidth="1"/>
    <col min="16" max="16" width="10.28515625" bestFit="1" customWidth="1"/>
  </cols>
  <sheetData>
    <row r="1" spans="1:16" x14ac:dyDescent="0.25">
      <c r="A1" s="14" t="s">
        <v>3</v>
      </c>
      <c r="B1" s="14"/>
      <c r="D1" s="14" t="s">
        <v>4</v>
      </c>
      <c r="E1" s="14"/>
    </row>
    <row r="2" spans="1:16" x14ac:dyDescent="0.25">
      <c r="A2" t="s">
        <v>5</v>
      </c>
      <c r="B2" t="s">
        <v>6</v>
      </c>
      <c r="D2" s="3" t="s">
        <v>5</v>
      </c>
      <c r="E2" s="3" t="s">
        <v>6</v>
      </c>
      <c r="O2" s="2"/>
    </row>
    <row r="3" spans="1:16" x14ac:dyDescent="0.25">
      <c r="A3" s="4">
        <v>0</v>
      </c>
      <c r="B3" s="5">
        <v>0</v>
      </c>
      <c r="D3" s="4">
        <v>0</v>
      </c>
      <c r="E3" s="5">
        <v>0</v>
      </c>
      <c r="P3" s="3"/>
    </row>
    <row r="4" spans="1:16" x14ac:dyDescent="0.25">
      <c r="A4" s="4">
        <v>1.7223803628068699E-4</v>
      </c>
      <c r="B4" s="5">
        <v>9.9995999999999992</v>
      </c>
      <c r="D4" s="4">
        <v>1.64845160103026E-4</v>
      </c>
      <c r="E4" s="5">
        <v>10</v>
      </c>
      <c r="P4" s="3"/>
    </row>
    <row r="5" spans="1:16" x14ac:dyDescent="0.25">
      <c r="A5" s="4">
        <v>4.09159304496551E-4</v>
      </c>
      <c r="B5" s="5">
        <v>19.999199999999998</v>
      </c>
      <c r="D5" s="4">
        <v>3.8333489819057599E-4</v>
      </c>
      <c r="E5" s="5">
        <v>20</v>
      </c>
      <c r="P5" s="3"/>
    </row>
    <row r="6" spans="1:16" x14ac:dyDescent="0.25">
      <c r="A6" s="4">
        <v>6.8968105234067404E-4</v>
      </c>
      <c r="B6" s="5">
        <v>29.998799999999999</v>
      </c>
      <c r="D6" s="4">
        <v>6.3799984797144305E-4</v>
      </c>
      <c r="E6" s="5">
        <v>30</v>
      </c>
      <c r="P6" s="3"/>
    </row>
    <row r="7" spans="1:16" x14ac:dyDescent="0.25">
      <c r="A7" s="4">
        <v>1.05541600739645E-3</v>
      </c>
      <c r="B7" s="5">
        <v>39.998399999999997</v>
      </c>
      <c r="D7" s="4">
        <v>9.2662601429247405E-4</v>
      </c>
      <c r="E7" s="5">
        <v>40</v>
      </c>
      <c r="P7" s="3"/>
    </row>
    <row r="8" spans="1:16" x14ac:dyDescent="0.25">
      <c r="A8" s="4">
        <v>1.41994429816014E-3</v>
      </c>
      <c r="B8" s="5">
        <v>49.997999999999998</v>
      </c>
      <c r="D8" s="4">
        <v>1.24707243288102E-3</v>
      </c>
      <c r="E8" s="5">
        <v>50</v>
      </c>
      <c r="P8" s="3"/>
    </row>
    <row r="9" spans="1:16" x14ac:dyDescent="0.25">
      <c r="A9" s="4">
        <v>1.8166003957067801E-3</v>
      </c>
      <c r="B9" s="5">
        <v>59.997599999999998</v>
      </c>
      <c r="D9" s="4">
        <v>1.5830561445549301E-3</v>
      </c>
      <c r="E9" s="5">
        <v>60</v>
      </c>
      <c r="P9" s="3"/>
    </row>
    <row r="10" spans="1:16" x14ac:dyDescent="0.25">
      <c r="A10" s="4">
        <v>2.2333256208924299E-3</v>
      </c>
      <c r="B10" s="5">
        <v>69.997200000000007</v>
      </c>
      <c r="D10" s="4">
        <v>1.9475552853925201E-3</v>
      </c>
      <c r="E10" s="5">
        <v>70</v>
      </c>
      <c r="P10" s="3"/>
    </row>
    <row r="11" spans="1:16" x14ac:dyDescent="0.25">
      <c r="A11" s="4">
        <v>2.6743258658809802E-3</v>
      </c>
      <c r="B11" s="5">
        <v>79.996799999999993</v>
      </c>
      <c r="D11" s="4">
        <v>2.33523607309968E-3</v>
      </c>
      <c r="E11" s="5">
        <v>80</v>
      </c>
    </row>
    <row r="12" spans="1:16" x14ac:dyDescent="0.25">
      <c r="A12" s="4">
        <v>3.1307692167024601E-3</v>
      </c>
      <c r="B12" s="5">
        <v>89.996399999999994</v>
      </c>
      <c r="D12" s="4">
        <v>2.7321743706412798E-3</v>
      </c>
      <c r="E12" s="5">
        <v>90</v>
      </c>
      <c r="O12" s="15"/>
      <c r="P12" s="15"/>
    </row>
    <row r="13" spans="1:16" x14ac:dyDescent="0.25">
      <c r="A13" s="4">
        <v>3.5987373076418199E-3</v>
      </c>
      <c r="B13" s="5">
        <v>99.995999999999995</v>
      </c>
      <c r="D13" s="4">
        <v>3.14690019170541E-3</v>
      </c>
      <c r="E13" s="5">
        <v>100</v>
      </c>
      <c r="P13" s="3"/>
    </row>
    <row r="14" spans="1:16" x14ac:dyDescent="0.25">
      <c r="A14" s="4">
        <v>4.0799112471276303E-3</v>
      </c>
      <c r="B14" s="5">
        <v>109.9956</v>
      </c>
      <c r="D14" s="4">
        <v>3.58676666314507E-3</v>
      </c>
      <c r="E14" s="5">
        <v>110</v>
      </c>
      <c r="P14" s="3"/>
    </row>
    <row r="15" spans="1:16" x14ac:dyDescent="0.25">
      <c r="A15" s="4">
        <v>4.5772187154678899E-3</v>
      </c>
      <c r="B15" s="5">
        <v>119.9952</v>
      </c>
      <c r="D15" s="4">
        <v>4.0335861493378403E-3</v>
      </c>
      <c r="E15" s="5">
        <v>120</v>
      </c>
      <c r="P15" s="3"/>
    </row>
    <row r="16" spans="1:16" x14ac:dyDescent="0.25">
      <c r="A16" s="4">
        <v>5.0845908992861897E-3</v>
      </c>
      <c r="B16" s="5">
        <v>129.9948</v>
      </c>
      <c r="D16" s="4">
        <v>4.48655098628962E-3</v>
      </c>
      <c r="E16" s="5">
        <v>130</v>
      </c>
    </row>
    <row r="17" spans="1:5" x14ac:dyDescent="0.25">
      <c r="A17" s="4">
        <v>5.6039316153948396E-3</v>
      </c>
      <c r="B17" s="5">
        <v>139.99440000000001</v>
      </c>
      <c r="D17" s="4">
        <v>4.9516148169742999E-3</v>
      </c>
      <c r="E17" s="5">
        <v>140</v>
      </c>
    </row>
    <row r="18" spans="1:5" x14ac:dyDescent="0.25">
      <c r="A18" s="4">
        <v>6.1210072937517004E-3</v>
      </c>
      <c r="B18" s="5">
        <v>149.994</v>
      </c>
      <c r="D18" s="4">
        <v>5.4266776793497999E-3</v>
      </c>
      <c r="E18" s="5">
        <v>150</v>
      </c>
    </row>
    <row r="19" spans="1:5" x14ac:dyDescent="0.25">
      <c r="A19" s="4">
        <v>6.64228699217893E-3</v>
      </c>
      <c r="B19" s="5">
        <v>159.99359999999999</v>
      </c>
      <c r="D19" s="4">
        <v>5.9087410876771697E-3</v>
      </c>
      <c r="E19" s="5">
        <v>160</v>
      </c>
    </row>
    <row r="20" spans="1:5" x14ac:dyDescent="0.25">
      <c r="A20" s="4">
        <v>7.1914917635829897E-3</v>
      </c>
      <c r="B20" s="5">
        <v>169.9932</v>
      </c>
      <c r="D20" s="4">
        <v>6.39832105726459E-3</v>
      </c>
      <c r="E20" s="5">
        <v>170</v>
      </c>
    </row>
    <row r="21" spans="1:5" x14ac:dyDescent="0.25">
      <c r="A21" s="4">
        <v>7.7284043820053097E-3</v>
      </c>
      <c r="B21" s="5">
        <v>179.99279999999999</v>
      </c>
      <c r="D21" s="4">
        <v>6.9026116121996004E-3</v>
      </c>
      <c r="E21" s="5">
        <v>180</v>
      </c>
    </row>
    <row r="22" spans="1:5" x14ac:dyDescent="0.25">
      <c r="A22" s="4">
        <v>8.2672063820620392E-3</v>
      </c>
      <c r="B22" s="5">
        <v>189.9924</v>
      </c>
      <c r="D22" s="4">
        <v>7.40393561256859E-3</v>
      </c>
      <c r="E22" s="5">
        <v>190</v>
      </c>
    </row>
    <row r="23" spans="1:5" x14ac:dyDescent="0.25">
      <c r="A23" s="4">
        <v>8.8178679588264506E-3</v>
      </c>
      <c r="B23" s="5">
        <v>199.99199999999999</v>
      </c>
      <c r="D23" s="4">
        <v>7.9152969116188902E-3</v>
      </c>
      <c r="E23" s="5">
        <v>200</v>
      </c>
    </row>
    <row r="24" spans="1:5" x14ac:dyDescent="0.25">
      <c r="A24" s="4">
        <v>9.4733986818926301E-3</v>
      </c>
      <c r="B24" s="5">
        <v>209.99160000000001</v>
      </c>
      <c r="D24" s="4">
        <v>8.4492072849401498E-3</v>
      </c>
      <c r="E24" s="5">
        <v>210</v>
      </c>
    </row>
    <row r="25" spans="1:5" x14ac:dyDescent="0.25">
      <c r="A25" s="4">
        <v>9.9658786770814405E-3</v>
      </c>
      <c r="B25" s="5">
        <v>219.99119999999999</v>
      </c>
      <c r="D25" s="4">
        <v>8.9702942545966096E-3</v>
      </c>
      <c r="E25" s="5">
        <v>220</v>
      </c>
    </row>
    <row r="26" spans="1:5" x14ac:dyDescent="0.25">
      <c r="A26" s="4">
        <v>1.05594374297577E-2</v>
      </c>
      <c r="B26" s="5">
        <v>229.99080000000001</v>
      </c>
      <c r="D26" s="4">
        <v>9.5030427271521108E-3</v>
      </c>
      <c r="E26" s="5">
        <v>230</v>
      </c>
    </row>
    <row r="27" spans="1:5" x14ac:dyDescent="0.25">
      <c r="A27" s="4">
        <v>1.1127660926180101E-2</v>
      </c>
      <c r="B27" s="5">
        <v>239.99039999999999</v>
      </c>
      <c r="D27" s="4">
        <v>1.0046753310981E-2</v>
      </c>
      <c r="E27" s="5">
        <v>240</v>
      </c>
    </row>
    <row r="28" spans="1:5" x14ac:dyDescent="0.25">
      <c r="A28" s="4">
        <v>1.17492988382304E-2</v>
      </c>
      <c r="B28" s="5">
        <v>249.99</v>
      </c>
      <c r="D28" s="4">
        <v>1.0589766947408E-2</v>
      </c>
      <c r="E28" s="5">
        <v>250</v>
      </c>
    </row>
    <row r="29" spans="1:5" x14ac:dyDescent="0.25">
      <c r="A29" s="4">
        <v>1.23012426031063E-2</v>
      </c>
      <c r="B29" s="5">
        <v>259.9896</v>
      </c>
      <c r="D29" s="4">
        <v>1.1139132425156699E-2</v>
      </c>
      <c r="E29" s="5">
        <v>260</v>
      </c>
    </row>
    <row r="30" spans="1:5" x14ac:dyDescent="0.25">
      <c r="A30" s="4">
        <v>1.28450043915061E-2</v>
      </c>
      <c r="B30" s="5">
        <v>269.98919999999998</v>
      </c>
      <c r="D30" s="4">
        <v>1.1695777500450101E-2</v>
      </c>
      <c r="E30" s="5">
        <v>270</v>
      </c>
    </row>
    <row r="31" spans="1:5" x14ac:dyDescent="0.25">
      <c r="A31" s="4">
        <v>1.3558501394210099E-2</v>
      </c>
      <c r="B31" s="5">
        <v>279.98880000000003</v>
      </c>
      <c r="D31" s="4">
        <v>1.22711508417773E-2</v>
      </c>
      <c r="E31" s="5">
        <v>280</v>
      </c>
    </row>
    <row r="32" spans="1:5" x14ac:dyDescent="0.25">
      <c r="A32" s="4">
        <v>1.4146372001731499E-2</v>
      </c>
      <c r="B32" s="5">
        <v>289.98840000000001</v>
      </c>
      <c r="D32" s="4">
        <v>1.28429679507642E-2</v>
      </c>
      <c r="E32" s="5">
        <v>290</v>
      </c>
    </row>
    <row r="33" spans="1:5" x14ac:dyDescent="0.25">
      <c r="A33" s="4">
        <v>1.46720519747031E-2</v>
      </c>
      <c r="B33" s="5">
        <v>299.988</v>
      </c>
      <c r="D33" s="4">
        <v>1.3413317899796899E-2</v>
      </c>
      <c r="E33" s="5">
        <v>300</v>
      </c>
    </row>
    <row r="34" spans="1:5" x14ac:dyDescent="0.25">
      <c r="A34" s="4">
        <v>1.5396416211291701E-2</v>
      </c>
      <c r="B34" s="5">
        <v>309.98759999999999</v>
      </c>
      <c r="D34" s="4">
        <v>1.39914839362384E-2</v>
      </c>
      <c r="E34" s="5">
        <v>310</v>
      </c>
    </row>
    <row r="35" spans="1:5" x14ac:dyDescent="0.25">
      <c r="A35" s="4">
        <v>1.59352878385518E-2</v>
      </c>
      <c r="B35" s="5">
        <v>319.98719999999997</v>
      </c>
      <c r="D35" s="4">
        <v>1.4573255058250601E-2</v>
      </c>
      <c r="E35" s="5">
        <v>320</v>
      </c>
    </row>
    <row r="36" spans="1:5" x14ac:dyDescent="0.25">
      <c r="A36" s="4">
        <v>1.66799385611371E-2</v>
      </c>
      <c r="B36" s="5">
        <v>329.98680000000002</v>
      </c>
      <c r="D36" s="4">
        <v>1.5159611952904099E-2</v>
      </c>
      <c r="E36" s="5">
        <v>330</v>
      </c>
    </row>
    <row r="37" spans="1:5" x14ac:dyDescent="0.25">
      <c r="A37" s="4">
        <v>1.7202795438894001E-2</v>
      </c>
      <c r="B37" s="5">
        <v>339.9864</v>
      </c>
      <c r="D37" s="4">
        <v>1.5754566708178899E-2</v>
      </c>
      <c r="E37" s="5">
        <v>340</v>
      </c>
    </row>
    <row r="38" spans="1:5" x14ac:dyDescent="0.25">
      <c r="A38" s="4">
        <v>1.7958877974144801E-2</v>
      </c>
      <c r="B38" s="5">
        <v>349.98599999999999</v>
      </c>
      <c r="D38" s="4">
        <v>1.6353418458388402E-2</v>
      </c>
      <c r="E38" s="5">
        <v>350</v>
      </c>
    </row>
    <row r="39" spans="1:5" x14ac:dyDescent="0.25">
      <c r="A39" s="4">
        <v>1.8382736495762102E-2</v>
      </c>
      <c r="B39" s="5">
        <v>359.98559999999998</v>
      </c>
      <c r="D39" s="4">
        <v>1.6961302133634198E-2</v>
      </c>
      <c r="E39" s="5">
        <v>360</v>
      </c>
    </row>
    <row r="40" spans="1:5" x14ac:dyDescent="0.25">
      <c r="A40" s="4">
        <v>1.9254918500177801E-2</v>
      </c>
      <c r="B40" s="5">
        <v>369.98520000000002</v>
      </c>
      <c r="D40" s="4">
        <v>1.7573450373038799E-2</v>
      </c>
      <c r="E40" s="5">
        <v>370</v>
      </c>
    </row>
    <row r="41" spans="1:5" x14ac:dyDescent="0.25">
      <c r="A41" s="4">
        <v>1.97907519627404E-2</v>
      </c>
      <c r="B41" s="5">
        <v>379.98480000000001</v>
      </c>
      <c r="D41" s="4">
        <v>1.81889044985576E-2</v>
      </c>
      <c r="E41" s="5">
        <v>380</v>
      </c>
    </row>
    <row r="42" spans="1:5" x14ac:dyDescent="0.25">
      <c r="A42" s="4">
        <v>2.05000510357458E-2</v>
      </c>
      <c r="B42" s="5">
        <v>389.98439999999999</v>
      </c>
      <c r="D42" s="4">
        <v>1.8808853297473602E-2</v>
      </c>
      <c r="E42" s="5">
        <v>390</v>
      </c>
    </row>
    <row r="43" spans="1:5" x14ac:dyDescent="0.25">
      <c r="D43" s="4">
        <v>1.9434403917261599E-2</v>
      </c>
      <c r="E43" s="5">
        <v>400</v>
      </c>
    </row>
    <row r="44" spans="1:5" x14ac:dyDescent="0.25">
      <c r="D44" s="4">
        <v>2.0063781865281301E-2</v>
      </c>
      <c r="E44" s="5">
        <v>410</v>
      </c>
    </row>
    <row r="45" spans="1:5" x14ac:dyDescent="0.25">
      <c r="D45" s="6"/>
      <c r="E45" s="6"/>
    </row>
    <row r="46" spans="1:5" x14ac:dyDescent="0.25">
      <c r="D46" s="6"/>
      <c r="E46" s="6"/>
    </row>
    <row r="47" spans="1:5" x14ac:dyDescent="0.25">
      <c r="D47" s="6"/>
      <c r="E47" s="6"/>
    </row>
    <row r="48" spans="1:5" x14ac:dyDescent="0.25">
      <c r="D48" s="6"/>
      <c r="E48" s="6"/>
    </row>
    <row r="49" spans="4:5" x14ac:dyDescent="0.25">
      <c r="D49" s="6"/>
      <c r="E49" s="6"/>
    </row>
    <row r="50" spans="4:5" x14ac:dyDescent="0.25">
      <c r="D50" s="6"/>
      <c r="E50" s="6"/>
    </row>
    <row r="51" spans="4:5" x14ac:dyDescent="0.25">
      <c r="D51" s="6"/>
      <c r="E51" s="6"/>
    </row>
    <row r="52" spans="4:5" x14ac:dyDescent="0.25">
      <c r="D52" s="6"/>
      <c r="E52" s="6"/>
    </row>
    <row r="53" spans="4:5" x14ac:dyDescent="0.25">
      <c r="D53" s="6"/>
      <c r="E53" s="6"/>
    </row>
    <row r="54" spans="4:5" x14ac:dyDescent="0.25">
      <c r="D54" s="6"/>
      <c r="E54" s="6"/>
    </row>
    <row r="55" spans="4:5" x14ac:dyDescent="0.25">
      <c r="D55" s="6"/>
      <c r="E55" s="6"/>
    </row>
    <row r="56" spans="4:5" x14ac:dyDescent="0.25">
      <c r="D56" s="6"/>
      <c r="E56" s="6"/>
    </row>
    <row r="57" spans="4:5" x14ac:dyDescent="0.25">
      <c r="D57" s="6"/>
      <c r="E57" s="6"/>
    </row>
    <row r="58" spans="4:5" x14ac:dyDescent="0.25">
      <c r="D58" s="6"/>
      <c r="E58" s="6"/>
    </row>
    <row r="59" spans="4:5" x14ac:dyDescent="0.25">
      <c r="D59" s="6"/>
      <c r="E59" s="6"/>
    </row>
    <row r="60" spans="4:5" x14ac:dyDescent="0.25">
      <c r="D60" s="6"/>
      <c r="E60" s="6"/>
    </row>
    <row r="61" spans="4:5" x14ac:dyDescent="0.25">
      <c r="D61" s="6"/>
      <c r="E61" s="6"/>
    </row>
    <row r="62" spans="4:5" x14ac:dyDescent="0.25">
      <c r="D62" s="6"/>
      <c r="E62" s="6"/>
    </row>
    <row r="63" spans="4:5" x14ac:dyDescent="0.25">
      <c r="D63" s="6"/>
      <c r="E63" s="6"/>
    </row>
    <row r="64" spans="4:5" x14ac:dyDescent="0.25">
      <c r="D64" s="6"/>
      <c r="E64" s="6"/>
    </row>
    <row r="65" spans="4:5" x14ac:dyDescent="0.25">
      <c r="D65" s="6"/>
      <c r="E65" s="6"/>
    </row>
    <row r="66" spans="4:5" x14ac:dyDescent="0.25">
      <c r="D66" s="6"/>
      <c r="E66" s="6"/>
    </row>
    <row r="67" spans="4:5" x14ac:dyDescent="0.25">
      <c r="D67" s="6"/>
      <c r="E67" s="6"/>
    </row>
    <row r="68" spans="4:5" x14ac:dyDescent="0.25">
      <c r="D68" s="6"/>
      <c r="E68" s="6"/>
    </row>
    <row r="69" spans="4:5" x14ac:dyDescent="0.25">
      <c r="D69" s="6"/>
      <c r="E69" s="6"/>
    </row>
    <row r="70" spans="4:5" x14ac:dyDescent="0.25">
      <c r="D70" s="6"/>
      <c r="E70" s="6"/>
    </row>
    <row r="71" spans="4:5" x14ac:dyDescent="0.25">
      <c r="D71" s="6"/>
      <c r="E71" s="6"/>
    </row>
    <row r="72" spans="4:5" x14ac:dyDescent="0.25">
      <c r="D72" s="6"/>
      <c r="E72" s="6"/>
    </row>
    <row r="73" spans="4:5" x14ac:dyDescent="0.25">
      <c r="D73" s="6"/>
      <c r="E73" s="6"/>
    </row>
    <row r="74" spans="4:5" x14ac:dyDescent="0.25">
      <c r="D74" s="6"/>
      <c r="E74" s="6"/>
    </row>
    <row r="75" spans="4:5" x14ac:dyDescent="0.25">
      <c r="D75" s="6"/>
      <c r="E75" s="6"/>
    </row>
    <row r="76" spans="4:5" x14ac:dyDescent="0.25">
      <c r="D76" s="6"/>
      <c r="E76" s="6"/>
    </row>
    <row r="77" spans="4:5" x14ac:dyDescent="0.25">
      <c r="D77" s="6"/>
      <c r="E77" s="6"/>
    </row>
    <row r="78" spans="4:5" x14ac:dyDescent="0.25">
      <c r="D78" s="6"/>
      <c r="E78" s="6"/>
    </row>
    <row r="79" spans="4:5" x14ac:dyDescent="0.25">
      <c r="D79" s="6"/>
      <c r="E79" s="6"/>
    </row>
    <row r="80" spans="4:5" x14ac:dyDescent="0.25">
      <c r="D80" s="6"/>
      <c r="E80" s="6"/>
    </row>
    <row r="81" spans="4:5" x14ac:dyDescent="0.25">
      <c r="D81" s="6"/>
      <c r="E81" s="6"/>
    </row>
    <row r="82" spans="4:5" x14ac:dyDescent="0.25">
      <c r="D82" s="6"/>
      <c r="E82" s="6"/>
    </row>
    <row r="83" spans="4:5" x14ac:dyDescent="0.25">
      <c r="D83" s="6"/>
      <c r="E83" s="6"/>
    </row>
    <row r="84" spans="4:5" x14ac:dyDescent="0.25">
      <c r="D84" s="6"/>
      <c r="E84" s="6"/>
    </row>
    <row r="85" spans="4:5" x14ac:dyDescent="0.25">
      <c r="D85" s="6"/>
      <c r="E85" s="6"/>
    </row>
    <row r="86" spans="4:5" x14ac:dyDescent="0.25">
      <c r="D86" s="6"/>
      <c r="E86" s="6"/>
    </row>
    <row r="87" spans="4:5" x14ac:dyDescent="0.25">
      <c r="D87" s="6"/>
      <c r="E87" s="6"/>
    </row>
    <row r="88" spans="4:5" x14ac:dyDescent="0.25">
      <c r="D88" s="6"/>
      <c r="E88" s="6"/>
    </row>
    <row r="89" spans="4:5" x14ac:dyDescent="0.25">
      <c r="D89" s="6"/>
      <c r="E89" s="6"/>
    </row>
    <row r="90" spans="4:5" x14ac:dyDescent="0.25">
      <c r="D90" s="6"/>
      <c r="E90" s="6"/>
    </row>
    <row r="91" spans="4:5" x14ac:dyDescent="0.25">
      <c r="D91" s="6"/>
      <c r="E91" s="6"/>
    </row>
    <row r="92" spans="4:5" x14ac:dyDescent="0.25">
      <c r="D92" s="6"/>
      <c r="E92" s="6"/>
    </row>
    <row r="93" spans="4:5" x14ac:dyDescent="0.25">
      <c r="D93" s="6"/>
      <c r="E93" s="6"/>
    </row>
    <row r="94" spans="4:5" x14ac:dyDescent="0.25">
      <c r="D94" s="6"/>
      <c r="E94" s="6"/>
    </row>
    <row r="95" spans="4:5" x14ac:dyDescent="0.25">
      <c r="D95" s="6"/>
      <c r="E95" s="6"/>
    </row>
    <row r="96" spans="4:5" x14ac:dyDescent="0.25">
      <c r="D96" s="6"/>
      <c r="E96" s="6"/>
    </row>
    <row r="97" spans="4:5" x14ac:dyDescent="0.25">
      <c r="D97" s="6"/>
      <c r="E97" s="6"/>
    </row>
    <row r="98" spans="4:5" x14ac:dyDescent="0.25">
      <c r="D98" s="6"/>
      <c r="E98" s="6"/>
    </row>
    <row r="99" spans="4:5" x14ac:dyDescent="0.25">
      <c r="D99" s="6"/>
      <c r="E99" s="6"/>
    </row>
    <row r="100" spans="4:5" x14ac:dyDescent="0.25">
      <c r="D100" s="6"/>
      <c r="E100" s="6"/>
    </row>
    <row r="101" spans="4:5" x14ac:dyDescent="0.25">
      <c r="D101" s="6"/>
      <c r="E101" s="6"/>
    </row>
    <row r="102" spans="4:5" x14ac:dyDescent="0.25">
      <c r="D102" s="6"/>
      <c r="E102" s="6"/>
    </row>
    <row r="103" spans="4:5" x14ac:dyDescent="0.25">
      <c r="D103" s="6"/>
      <c r="E103" s="6"/>
    </row>
    <row r="104" spans="4:5" x14ac:dyDescent="0.25">
      <c r="D104" s="6"/>
      <c r="E104" s="6"/>
    </row>
    <row r="105" spans="4:5" x14ac:dyDescent="0.25">
      <c r="D105" s="6"/>
      <c r="E105" s="6"/>
    </row>
    <row r="106" spans="4:5" x14ac:dyDescent="0.25">
      <c r="D106" s="6"/>
      <c r="E106" s="6"/>
    </row>
    <row r="107" spans="4:5" x14ac:dyDescent="0.25">
      <c r="D107" s="6"/>
      <c r="E107" s="6"/>
    </row>
    <row r="108" spans="4:5" x14ac:dyDescent="0.25">
      <c r="D108" s="6"/>
      <c r="E108" s="6"/>
    </row>
    <row r="109" spans="4:5" x14ac:dyDescent="0.25">
      <c r="D109" s="6"/>
      <c r="E109" s="6"/>
    </row>
    <row r="110" spans="4:5" x14ac:dyDescent="0.25">
      <c r="D110" s="6"/>
      <c r="E110" s="6"/>
    </row>
    <row r="111" spans="4:5" x14ac:dyDescent="0.25">
      <c r="D111" s="6"/>
      <c r="E111" s="6"/>
    </row>
    <row r="112" spans="4:5" x14ac:dyDescent="0.25">
      <c r="D112" s="6"/>
      <c r="E112" s="6"/>
    </row>
    <row r="113" spans="4:5" x14ac:dyDescent="0.25">
      <c r="D113" s="6"/>
      <c r="E113" s="6"/>
    </row>
    <row r="114" spans="4:5" x14ac:dyDescent="0.25">
      <c r="D114" s="6"/>
      <c r="E114" s="6"/>
    </row>
    <row r="115" spans="4:5" x14ac:dyDescent="0.25">
      <c r="D115" s="6"/>
      <c r="E115" s="6"/>
    </row>
    <row r="116" spans="4:5" x14ac:dyDescent="0.25">
      <c r="D116" s="6"/>
      <c r="E116" s="6"/>
    </row>
    <row r="117" spans="4:5" x14ac:dyDescent="0.25">
      <c r="D117" s="6"/>
      <c r="E117" s="6"/>
    </row>
    <row r="118" spans="4:5" x14ac:dyDescent="0.25">
      <c r="D118" s="6"/>
      <c r="E118" s="6"/>
    </row>
    <row r="119" spans="4:5" x14ac:dyDescent="0.25">
      <c r="D119" s="6"/>
      <c r="E119" s="6"/>
    </row>
    <row r="120" spans="4:5" x14ac:dyDescent="0.25">
      <c r="D120" s="6"/>
      <c r="E120" s="6"/>
    </row>
    <row r="121" spans="4:5" x14ac:dyDescent="0.25">
      <c r="D121" s="6"/>
      <c r="E121" s="6"/>
    </row>
    <row r="122" spans="4:5" x14ac:dyDescent="0.25">
      <c r="D122" s="6"/>
      <c r="E122" s="6"/>
    </row>
    <row r="123" spans="4:5" x14ac:dyDescent="0.25">
      <c r="D123" s="6"/>
      <c r="E123" s="6"/>
    </row>
    <row r="124" spans="4:5" x14ac:dyDescent="0.25">
      <c r="D124" s="6"/>
      <c r="E124" s="6"/>
    </row>
    <row r="125" spans="4:5" x14ac:dyDescent="0.25">
      <c r="D125" s="6"/>
      <c r="E125" s="6"/>
    </row>
    <row r="126" spans="4:5" x14ac:dyDescent="0.25">
      <c r="D126" s="6"/>
      <c r="E126" s="6"/>
    </row>
    <row r="127" spans="4:5" x14ac:dyDescent="0.25">
      <c r="D127" s="6"/>
      <c r="E127" s="6"/>
    </row>
    <row r="128" spans="4:5" x14ac:dyDescent="0.25">
      <c r="D128" s="6"/>
      <c r="E128" s="6"/>
    </row>
    <row r="129" spans="4:5" x14ac:dyDescent="0.25">
      <c r="D129" s="6"/>
      <c r="E129" s="6"/>
    </row>
    <row r="130" spans="4:5" x14ac:dyDescent="0.25">
      <c r="D130" s="6"/>
      <c r="E130" s="6"/>
    </row>
    <row r="131" spans="4:5" x14ac:dyDescent="0.25">
      <c r="D131" s="6"/>
      <c r="E131" s="6"/>
    </row>
    <row r="132" spans="4:5" x14ac:dyDescent="0.25">
      <c r="D132" s="6"/>
      <c r="E132" s="6"/>
    </row>
    <row r="133" spans="4:5" x14ac:dyDescent="0.25">
      <c r="D133" s="6"/>
      <c r="E133" s="6"/>
    </row>
    <row r="134" spans="4:5" x14ac:dyDescent="0.25">
      <c r="D134" s="6"/>
      <c r="E134" s="6"/>
    </row>
    <row r="135" spans="4:5" x14ac:dyDescent="0.25">
      <c r="D135" s="6"/>
      <c r="E135" s="6"/>
    </row>
    <row r="136" spans="4:5" x14ac:dyDescent="0.25">
      <c r="D136" s="6"/>
      <c r="E136" s="6"/>
    </row>
    <row r="137" spans="4:5" x14ac:dyDescent="0.25">
      <c r="D137" s="6"/>
      <c r="E137" s="6"/>
    </row>
    <row r="138" spans="4:5" x14ac:dyDescent="0.25">
      <c r="D138" s="6"/>
      <c r="E138" s="6"/>
    </row>
    <row r="139" spans="4:5" x14ac:dyDescent="0.25">
      <c r="D139" s="6"/>
      <c r="E139" s="6"/>
    </row>
    <row r="140" spans="4:5" x14ac:dyDescent="0.25">
      <c r="D140" s="6"/>
      <c r="E140" s="6"/>
    </row>
    <row r="141" spans="4:5" x14ac:dyDescent="0.25">
      <c r="D141" s="6"/>
      <c r="E141" s="6"/>
    </row>
    <row r="142" spans="4:5" x14ac:dyDescent="0.25">
      <c r="D142" s="6"/>
      <c r="E142" s="6"/>
    </row>
    <row r="143" spans="4:5" x14ac:dyDescent="0.25">
      <c r="D143" s="6"/>
      <c r="E143" s="6"/>
    </row>
    <row r="144" spans="4:5" x14ac:dyDescent="0.25">
      <c r="D144" s="6"/>
      <c r="E144" s="6"/>
    </row>
    <row r="145" spans="4:5" x14ac:dyDescent="0.25">
      <c r="D145" s="6"/>
      <c r="E145" s="6"/>
    </row>
    <row r="146" spans="4:5" x14ac:dyDescent="0.25">
      <c r="D146" s="6"/>
      <c r="E146" s="6"/>
    </row>
    <row r="147" spans="4:5" x14ac:dyDescent="0.25">
      <c r="D147" s="6"/>
      <c r="E147" s="6"/>
    </row>
    <row r="148" spans="4:5" x14ac:dyDescent="0.25">
      <c r="D148" s="6"/>
      <c r="E148" s="6"/>
    </row>
    <row r="149" spans="4:5" x14ac:dyDescent="0.25">
      <c r="D149" s="6"/>
      <c r="E149" s="6"/>
    </row>
    <row r="150" spans="4:5" x14ac:dyDescent="0.25">
      <c r="D150" s="6"/>
      <c r="E150" s="6"/>
    </row>
    <row r="151" spans="4:5" x14ac:dyDescent="0.25">
      <c r="D151" s="6"/>
      <c r="E151" s="6"/>
    </row>
    <row r="152" spans="4:5" x14ac:dyDescent="0.25">
      <c r="D152" s="6"/>
      <c r="E152" s="6"/>
    </row>
    <row r="153" spans="4:5" x14ac:dyDescent="0.25">
      <c r="D153" s="6"/>
      <c r="E153" s="6"/>
    </row>
    <row r="154" spans="4:5" x14ac:dyDescent="0.25">
      <c r="D154" s="6"/>
      <c r="E154" s="6"/>
    </row>
    <row r="155" spans="4:5" x14ac:dyDescent="0.25">
      <c r="D155" s="6"/>
      <c r="E155" s="6"/>
    </row>
    <row r="156" spans="4:5" x14ac:dyDescent="0.25">
      <c r="D156" s="6"/>
      <c r="E156" s="6"/>
    </row>
    <row r="157" spans="4:5" x14ac:dyDescent="0.25">
      <c r="D157" s="6"/>
      <c r="E157" s="6"/>
    </row>
    <row r="158" spans="4:5" x14ac:dyDescent="0.25">
      <c r="D158" s="6"/>
      <c r="E158" s="6"/>
    </row>
    <row r="159" spans="4:5" x14ac:dyDescent="0.25">
      <c r="D159" s="6"/>
      <c r="E159" s="6"/>
    </row>
    <row r="160" spans="4:5" x14ac:dyDescent="0.25">
      <c r="D160" s="6"/>
      <c r="E160" s="6"/>
    </row>
    <row r="161" spans="4:5" x14ac:dyDescent="0.25">
      <c r="D161" s="6"/>
      <c r="E161" s="6"/>
    </row>
    <row r="162" spans="4:5" x14ac:dyDescent="0.25">
      <c r="D162" s="6"/>
      <c r="E162" s="6"/>
    </row>
    <row r="163" spans="4:5" x14ac:dyDescent="0.25">
      <c r="D163" s="6"/>
      <c r="E163" s="6"/>
    </row>
    <row r="164" spans="4:5" x14ac:dyDescent="0.25">
      <c r="D164" s="6"/>
      <c r="E164" s="6"/>
    </row>
    <row r="165" spans="4:5" x14ac:dyDescent="0.25">
      <c r="D165" s="6"/>
      <c r="E165" s="6"/>
    </row>
    <row r="166" spans="4:5" x14ac:dyDescent="0.25">
      <c r="D166" s="6"/>
      <c r="E166" s="6"/>
    </row>
    <row r="167" spans="4:5" x14ac:dyDescent="0.25">
      <c r="D167" s="6"/>
      <c r="E167" s="6"/>
    </row>
    <row r="168" spans="4:5" x14ac:dyDescent="0.25">
      <c r="D168" s="6"/>
      <c r="E168" s="6"/>
    </row>
    <row r="169" spans="4:5" x14ac:dyDescent="0.25">
      <c r="D169" s="6"/>
      <c r="E169" s="6"/>
    </row>
    <row r="170" spans="4:5" x14ac:dyDescent="0.25">
      <c r="D170" s="6"/>
      <c r="E170" s="6"/>
    </row>
    <row r="171" spans="4:5" x14ac:dyDescent="0.25">
      <c r="D171" s="6"/>
      <c r="E171" s="6"/>
    </row>
    <row r="172" spans="4:5" x14ac:dyDescent="0.25">
      <c r="D172" s="6"/>
      <c r="E172" s="6"/>
    </row>
    <row r="173" spans="4:5" x14ac:dyDescent="0.25">
      <c r="D173" s="6"/>
      <c r="E173" s="6"/>
    </row>
    <row r="174" spans="4:5" x14ac:dyDescent="0.25">
      <c r="D174" s="6"/>
      <c r="E174" s="6"/>
    </row>
    <row r="175" spans="4:5" x14ac:dyDescent="0.25">
      <c r="D175" s="6"/>
      <c r="E175" s="6"/>
    </row>
    <row r="176" spans="4:5" x14ac:dyDescent="0.25">
      <c r="D176" s="6"/>
      <c r="E176" s="6"/>
    </row>
    <row r="177" spans="4:5" x14ac:dyDescent="0.25">
      <c r="D177" s="6"/>
      <c r="E177" s="6"/>
    </row>
    <row r="178" spans="4:5" x14ac:dyDescent="0.25">
      <c r="D178" s="6"/>
      <c r="E178" s="6"/>
    </row>
    <row r="179" spans="4:5" x14ac:dyDescent="0.25">
      <c r="D179" s="6"/>
      <c r="E179" s="6"/>
    </row>
    <row r="180" spans="4:5" x14ac:dyDescent="0.25">
      <c r="D180" s="6"/>
      <c r="E180" s="6"/>
    </row>
    <row r="181" spans="4:5" x14ac:dyDescent="0.25">
      <c r="D181" s="6"/>
      <c r="E181" s="6"/>
    </row>
    <row r="182" spans="4:5" x14ac:dyDescent="0.25">
      <c r="D182" s="6"/>
      <c r="E182" s="6"/>
    </row>
    <row r="183" spans="4:5" x14ac:dyDescent="0.25">
      <c r="D183" s="6"/>
      <c r="E183" s="6"/>
    </row>
    <row r="184" spans="4:5" x14ac:dyDescent="0.25">
      <c r="D184" s="6"/>
      <c r="E184" s="6"/>
    </row>
    <row r="185" spans="4:5" x14ac:dyDescent="0.25">
      <c r="D185" s="6"/>
      <c r="E185" s="6"/>
    </row>
    <row r="186" spans="4:5" x14ac:dyDescent="0.25">
      <c r="D186" s="6"/>
      <c r="E186" s="6"/>
    </row>
    <row r="187" spans="4:5" x14ac:dyDescent="0.25">
      <c r="D187" s="6"/>
      <c r="E187" s="6"/>
    </row>
    <row r="188" spans="4:5" x14ac:dyDescent="0.25">
      <c r="D188" s="6"/>
      <c r="E188" s="6"/>
    </row>
    <row r="189" spans="4:5" x14ac:dyDescent="0.25">
      <c r="D189" s="6"/>
      <c r="E189" s="6"/>
    </row>
    <row r="190" spans="4:5" x14ac:dyDescent="0.25">
      <c r="D190" s="6"/>
      <c r="E190" s="6"/>
    </row>
    <row r="191" spans="4:5" x14ac:dyDescent="0.25">
      <c r="D191" s="6"/>
      <c r="E191" s="6"/>
    </row>
    <row r="192" spans="4:5" x14ac:dyDescent="0.25">
      <c r="D192" s="6"/>
      <c r="E192" s="6"/>
    </row>
    <row r="193" spans="4:5" x14ac:dyDescent="0.25">
      <c r="D193" s="6"/>
      <c r="E193" s="6"/>
    </row>
    <row r="194" spans="4:5" x14ac:dyDescent="0.25">
      <c r="D194" s="6"/>
      <c r="E194" s="6"/>
    </row>
    <row r="195" spans="4:5" x14ac:dyDescent="0.25">
      <c r="D195" s="6"/>
      <c r="E195" s="6"/>
    </row>
    <row r="196" spans="4:5" x14ac:dyDescent="0.25">
      <c r="D196" s="6"/>
      <c r="E196" s="6"/>
    </row>
    <row r="197" spans="4:5" x14ac:dyDescent="0.25">
      <c r="D197" s="6"/>
      <c r="E197" s="6"/>
    </row>
    <row r="198" spans="4:5" x14ac:dyDescent="0.25">
      <c r="D198" s="6"/>
      <c r="E198" s="6"/>
    </row>
    <row r="199" spans="4:5" x14ac:dyDescent="0.25">
      <c r="D199" s="6"/>
      <c r="E199" s="6"/>
    </row>
    <row r="200" spans="4:5" x14ac:dyDescent="0.25">
      <c r="D200" s="6"/>
      <c r="E200" s="6"/>
    </row>
    <row r="201" spans="4:5" x14ac:dyDescent="0.25">
      <c r="D201" s="6"/>
      <c r="E201" s="6"/>
    </row>
    <row r="202" spans="4:5" x14ac:dyDescent="0.25">
      <c r="D202" s="6"/>
      <c r="E202" s="6"/>
    </row>
    <row r="203" spans="4:5" x14ac:dyDescent="0.25">
      <c r="D203" s="6"/>
      <c r="E203" s="6"/>
    </row>
    <row r="204" spans="4:5" x14ac:dyDescent="0.25">
      <c r="D204" s="6"/>
      <c r="E204" s="6"/>
    </row>
    <row r="205" spans="4:5" x14ac:dyDescent="0.25">
      <c r="D205" s="6"/>
      <c r="E205" s="6"/>
    </row>
    <row r="206" spans="4:5" x14ac:dyDescent="0.25">
      <c r="D206" s="6"/>
      <c r="E206" s="6"/>
    </row>
    <row r="207" spans="4:5" x14ac:dyDescent="0.25">
      <c r="D207" s="6"/>
      <c r="E207" s="6"/>
    </row>
    <row r="208" spans="4:5" x14ac:dyDescent="0.25">
      <c r="D208" s="6"/>
      <c r="E208" s="6"/>
    </row>
    <row r="209" spans="4:5" x14ac:dyDescent="0.25">
      <c r="D209" s="6"/>
      <c r="E209" s="6"/>
    </row>
    <row r="210" spans="4:5" x14ac:dyDescent="0.25">
      <c r="D210" s="6"/>
      <c r="E210" s="6"/>
    </row>
    <row r="211" spans="4:5" x14ac:dyDescent="0.25">
      <c r="D211" s="6"/>
      <c r="E211" s="6"/>
    </row>
    <row r="212" spans="4:5" x14ac:dyDescent="0.25">
      <c r="D212" s="6"/>
      <c r="E212" s="6"/>
    </row>
    <row r="213" spans="4:5" x14ac:dyDescent="0.25">
      <c r="D213" s="6"/>
      <c r="E213" s="6"/>
    </row>
    <row r="214" spans="4:5" x14ac:dyDescent="0.25">
      <c r="D214" s="6"/>
      <c r="E214" s="6"/>
    </row>
    <row r="215" spans="4:5" x14ac:dyDescent="0.25">
      <c r="D215" s="6"/>
      <c r="E215" s="6"/>
    </row>
    <row r="216" spans="4:5" x14ac:dyDescent="0.25">
      <c r="D216" s="6"/>
      <c r="E216" s="6"/>
    </row>
    <row r="217" spans="4:5" x14ac:dyDescent="0.25">
      <c r="D217" s="6"/>
      <c r="E217" s="6"/>
    </row>
    <row r="218" spans="4:5" x14ac:dyDescent="0.25">
      <c r="D218" s="6"/>
      <c r="E218" s="6"/>
    </row>
    <row r="219" spans="4:5" x14ac:dyDescent="0.25">
      <c r="D219" s="6"/>
      <c r="E219" s="6"/>
    </row>
    <row r="220" spans="4:5" x14ac:dyDescent="0.25">
      <c r="D220" s="6"/>
      <c r="E220" s="6"/>
    </row>
    <row r="221" spans="4:5" x14ac:dyDescent="0.25">
      <c r="D221" s="6"/>
      <c r="E221" s="6"/>
    </row>
    <row r="222" spans="4:5" x14ac:dyDescent="0.25">
      <c r="D222" s="6"/>
      <c r="E222" s="6"/>
    </row>
    <row r="223" spans="4:5" x14ac:dyDescent="0.25">
      <c r="D223" s="6"/>
      <c r="E223" s="6"/>
    </row>
    <row r="224" spans="4:5" x14ac:dyDescent="0.25">
      <c r="D224" s="6"/>
      <c r="E224" s="6"/>
    </row>
    <row r="225" spans="4:5" x14ac:dyDescent="0.25">
      <c r="D225" s="6"/>
      <c r="E225" s="6"/>
    </row>
    <row r="226" spans="4:5" x14ac:dyDescent="0.25">
      <c r="D226" s="6"/>
      <c r="E226" s="6"/>
    </row>
    <row r="227" spans="4:5" x14ac:dyDescent="0.25">
      <c r="D227" s="6"/>
      <c r="E227" s="6"/>
    </row>
    <row r="228" spans="4:5" x14ac:dyDescent="0.25">
      <c r="D228" s="6"/>
      <c r="E228" s="6"/>
    </row>
    <row r="229" spans="4:5" x14ac:dyDescent="0.25">
      <c r="D229" s="6"/>
      <c r="E229" s="6"/>
    </row>
    <row r="230" spans="4:5" x14ac:dyDescent="0.25">
      <c r="D230" s="6"/>
      <c r="E230" s="6"/>
    </row>
    <row r="231" spans="4:5" x14ac:dyDescent="0.25">
      <c r="D231" s="6"/>
      <c r="E231" s="6"/>
    </row>
    <row r="232" spans="4:5" x14ac:dyDescent="0.25">
      <c r="D232" s="6"/>
      <c r="E232" s="6"/>
    </row>
    <row r="233" spans="4:5" x14ac:dyDescent="0.25">
      <c r="D233" s="6"/>
      <c r="E233" s="6"/>
    </row>
    <row r="234" spans="4:5" x14ac:dyDescent="0.25">
      <c r="D234" s="6"/>
      <c r="E234" s="6"/>
    </row>
    <row r="235" spans="4:5" x14ac:dyDescent="0.25">
      <c r="D235" s="6"/>
      <c r="E235" s="6"/>
    </row>
    <row r="236" spans="4:5" x14ac:dyDescent="0.25">
      <c r="D236" s="6"/>
      <c r="E236" s="6"/>
    </row>
    <row r="237" spans="4:5" x14ac:dyDescent="0.25">
      <c r="D237" s="6"/>
      <c r="E237" s="6"/>
    </row>
    <row r="238" spans="4:5" x14ac:dyDescent="0.25">
      <c r="D238" s="6"/>
      <c r="E238" s="6"/>
    </row>
    <row r="239" spans="4:5" x14ac:dyDescent="0.25">
      <c r="D239" s="6"/>
      <c r="E239" s="6"/>
    </row>
    <row r="240" spans="4:5" x14ac:dyDescent="0.25">
      <c r="D240" s="6"/>
      <c r="E240" s="6"/>
    </row>
    <row r="241" spans="4:5" x14ac:dyDescent="0.25">
      <c r="D241" s="6"/>
      <c r="E241" s="6"/>
    </row>
    <row r="242" spans="4:5" x14ac:dyDescent="0.25">
      <c r="D242" s="6"/>
      <c r="E242" s="6"/>
    </row>
    <row r="243" spans="4:5" x14ac:dyDescent="0.25">
      <c r="D243" s="6"/>
      <c r="E243" s="6"/>
    </row>
    <row r="244" spans="4:5" x14ac:dyDescent="0.25">
      <c r="D244" s="6"/>
      <c r="E244" s="6"/>
    </row>
    <row r="245" spans="4:5" x14ac:dyDescent="0.25">
      <c r="D245" s="6"/>
      <c r="E245" s="6"/>
    </row>
    <row r="246" spans="4:5" x14ac:dyDescent="0.25">
      <c r="D246" s="6"/>
      <c r="E246" s="6"/>
    </row>
    <row r="247" spans="4:5" x14ac:dyDescent="0.25">
      <c r="D247" s="6"/>
      <c r="E247" s="6"/>
    </row>
    <row r="248" spans="4:5" x14ac:dyDescent="0.25">
      <c r="D248" s="6"/>
      <c r="E248" s="6"/>
    </row>
    <row r="249" spans="4:5" x14ac:dyDescent="0.25">
      <c r="D249" s="6"/>
      <c r="E249" s="6"/>
    </row>
    <row r="250" spans="4:5" x14ac:dyDescent="0.25">
      <c r="D250" s="6"/>
      <c r="E250" s="6"/>
    </row>
    <row r="251" spans="4:5" x14ac:dyDescent="0.25">
      <c r="D251" s="6"/>
      <c r="E251" s="6"/>
    </row>
    <row r="252" spans="4:5" x14ac:dyDescent="0.25">
      <c r="D252" s="6"/>
      <c r="E252" s="6"/>
    </row>
    <row r="253" spans="4:5" x14ac:dyDescent="0.25">
      <c r="D253" s="6"/>
      <c r="E253" s="6"/>
    </row>
    <row r="254" spans="4:5" x14ac:dyDescent="0.25">
      <c r="D254" s="6"/>
      <c r="E254" s="6"/>
    </row>
    <row r="255" spans="4:5" x14ac:dyDescent="0.25">
      <c r="D255" s="6"/>
      <c r="E255" s="6"/>
    </row>
    <row r="256" spans="4:5" x14ac:dyDescent="0.25">
      <c r="D256" s="6"/>
      <c r="E256" s="6"/>
    </row>
    <row r="257" spans="4:5" x14ac:dyDescent="0.25">
      <c r="D257" s="6"/>
      <c r="E257" s="6"/>
    </row>
    <row r="258" spans="4:5" x14ac:dyDescent="0.25">
      <c r="D258" s="6"/>
      <c r="E258" s="6"/>
    </row>
    <row r="259" spans="4:5" x14ac:dyDescent="0.25">
      <c r="D259" s="6"/>
      <c r="E259" s="6"/>
    </row>
    <row r="260" spans="4:5" x14ac:dyDescent="0.25">
      <c r="D260" s="6"/>
      <c r="E260" s="6"/>
    </row>
    <row r="261" spans="4:5" x14ac:dyDescent="0.25">
      <c r="D261" s="6"/>
      <c r="E261" s="6"/>
    </row>
    <row r="262" spans="4:5" x14ac:dyDescent="0.25">
      <c r="D262" s="6"/>
      <c r="E262" s="6"/>
    </row>
    <row r="263" spans="4:5" x14ac:dyDescent="0.25">
      <c r="D263" s="6"/>
      <c r="E263" s="6"/>
    </row>
    <row r="264" spans="4:5" x14ac:dyDescent="0.25">
      <c r="D264" s="6"/>
      <c r="E264" s="6"/>
    </row>
    <row r="265" spans="4:5" x14ac:dyDescent="0.25">
      <c r="D265" s="6"/>
      <c r="E265" s="6"/>
    </row>
    <row r="266" spans="4:5" x14ac:dyDescent="0.25">
      <c r="D266" s="6"/>
      <c r="E266" s="6"/>
    </row>
    <row r="267" spans="4:5" x14ac:dyDescent="0.25">
      <c r="D267" s="6"/>
      <c r="E267" s="6"/>
    </row>
    <row r="268" spans="4:5" x14ac:dyDescent="0.25">
      <c r="D268" s="6"/>
      <c r="E268" s="6"/>
    </row>
    <row r="269" spans="4:5" x14ac:dyDescent="0.25">
      <c r="D269" s="6"/>
      <c r="E269" s="6"/>
    </row>
    <row r="270" spans="4:5" x14ac:dyDescent="0.25">
      <c r="D270" s="6"/>
      <c r="E270" s="6"/>
    </row>
    <row r="271" spans="4:5" x14ac:dyDescent="0.25">
      <c r="D271" s="6"/>
      <c r="E271" s="6"/>
    </row>
    <row r="272" spans="4:5" x14ac:dyDescent="0.25">
      <c r="D272" s="6"/>
      <c r="E272" s="6"/>
    </row>
    <row r="273" spans="4:5" x14ac:dyDescent="0.25">
      <c r="D273" s="6"/>
      <c r="E273" s="6"/>
    </row>
    <row r="274" spans="4:5" x14ac:dyDescent="0.25">
      <c r="D274" s="6"/>
      <c r="E274" s="6"/>
    </row>
    <row r="275" spans="4:5" x14ac:dyDescent="0.25">
      <c r="D275" s="6"/>
      <c r="E275" s="6"/>
    </row>
    <row r="276" spans="4:5" x14ac:dyDescent="0.25">
      <c r="D276" s="6"/>
      <c r="E276" s="6"/>
    </row>
    <row r="277" spans="4:5" x14ac:dyDescent="0.25">
      <c r="D277" s="6"/>
      <c r="E277" s="6"/>
    </row>
    <row r="278" spans="4:5" x14ac:dyDescent="0.25">
      <c r="D278" s="6"/>
      <c r="E278" s="6"/>
    </row>
    <row r="279" spans="4:5" x14ac:dyDescent="0.25">
      <c r="D279" s="6"/>
      <c r="E279" s="6"/>
    </row>
    <row r="280" spans="4:5" x14ac:dyDescent="0.25">
      <c r="D280" s="6"/>
      <c r="E280" s="6"/>
    </row>
    <row r="281" spans="4:5" x14ac:dyDescent="0.25">
      <c r="D281" s="6"/>
      <c r="E281" s="6"/>
    </row>
    <row r="282" spans="4:5" x14ac:dyDescent="0.25">
      <c r="D282" s="6"/>
      <c r="E282" s="6"/>
    </row>
    <row r="283" spans="4:5" x14ac:dyDescent="0.25">
      <c r="D283" s="6"/>
      <c r="E283" s="6"/>
    </row>
    <row r="284" spans="4:5" x14ac:dyDescent="0.25">
      <c r="D284" s="6"/>
      <c r="E284" s="6"/>
    </row>
    <row r="285" spans="4:5" x14ac:dyDescent="0.25">
      <c r="D285" s="6"/>
      <c r="E285" s="6"/>
    </row>
    <row r="286" spans="4:5" x14ac:dyDescent="0.25">
      <c r="D286" s="6"/>
      <c r="E286" s="6"/>
    </row>
    <row r="287" spans="4:5" x14ac:dyDescent="0.25">
      <c r="D287" s="6"/>
      <c r="E287" s="6"/>
    </row>
    <row r="288" spans="4:5" x14ac:dyDescent="0.25">
      <c r="D288" s="6"/>
      <c r="E288" s="6"/>
    </row>
    <row r="289" spans="4:5" x14ac:dyDescent="0.25">
      <c r="D289" s="6"/>
      <c r="E289" s="6"/>
    </row>
    <row r="290" spans="4:5" x14ac:dyDescent="0.25">
      <c r="D290" s="6"/>
      <c r="E290" s="6"/>
    </row>
    <row r="291" spans="4:5" x14ac:dyDescent="0.25">
      <c r="D291" s="6"/>
      <c r="E291" s="6"/>
    </row>
    <row r="292" spans="4:5" x14ac:dyDescent="0.25">
      <c r="D292" s="6"/>
      <c r="E292" s="6"/>
    </row>
    <row r="293" spans="4:5" x14ac:dyDescent="0.25">
      <c r="D293" s="6"/>
      <c r="E293" s="6"/>
    </row>
    <row r="294" spans="4:5" x14ac:dyDescent="0.25">
      <c r="D294" s="6"/>
      <c r="E294" s="6"/>
    </row>
    <row r="295" spans="4:5" x14ac:dyDescent="0.25">
      <c r="D295" s="6"/>
      <c r="E295" s="6"/>
    </row>
    <row r="296" spans="4:5" x14ac:dyDescent="0.25">
      <c r="D296" s="6"/>
      <c r="E296" s="6"/>
    </row>
    <row r="297" spans="4:5" x14ac:dyDescent="0.25">
      <c r="D297" s="6"/>
      <c r="E297" s="6"/>
    </row>
    <row r="298" spans="4:5" x14ac:dyDescent="0.25">
      <c r="D298" s="6"/>
      <c r="E298" s="6"/>
    </row>
    <row r="299" spans="4:5" x14ac:dyDescent="0.25">
      <c r="D299" s="6"/>
      <c r="E299" s="6"/>
    </row>
    <row r="300" spans="4:5" x14ac:dyDescent="0.25">
      <c r="D300" s="6"/>
      <c r="E300" s="6"/>
    </row>
    <row r="301" spans="4:5" x14ac:dyDescent="0.25">
      <c r="D301" s="6"/>
      <c r="E301" s="6"/>
    </row>
    <row r="302" spans="4:5" x14ac:dyDescent="0.25">
      <c r="D302" s="6"/>
      <c r="E302" s="6"/>
    </row>
    <row r="303" spans="4:5" x14ac:dyDescent="0.25">
      <c r="D303" s="6"/>
      <c r="E303" s="6"/>
    </row>
    <row r="304" spans="4:5" x14ac:dyDescent="0.25">
      <c r="D304" s="6"/>
      <c r="E304" s="6"/>
    </row>
    <row r="305" spans="4:5" x14ac:dyDescent="0.25">
      <c r="D305" s="6"/>
      <c r="E305" s="6"/>
    </row>
    <row r="306" spans="4:5" x14ac:dyDescent="0.25">
      <c r="D306" s="6"/>
      <c r="E306" s="6"/>
    </row>
    <row r="307" spans="4:5" x14ac:dyDescent="0.25">
      <c r="D307" s="6"/>
      <c r="E307" s="6"/>
    </row>
    <row r="308" spans="4:5" x14ac:dyDescent="0.25">
      <c r="D308" s="6"/>
      <c r="E308" s="6"/>
    </row>
    <row r="309" spans="4:5" x14ac:dyDescent="0.25">
      <c r="D309" s="6"/>
      <c r="E309" s="6"/>
    </row>
    <row r="310" spans="4:5" x14ac:dyDescent="0.25">
      <c r="D310" s="6"/>
      <c r="E310" s="6"/>
    </row>
    <row r="311" spans="4:5" x14ac:dyDescent="0.25">
      <c r="D311" s="6"/>
      <c r="E311" s="6"/>
    </row>
    <row r="312" spans="4:5" x14ac:dyDescent="0.25">
      <c r="D312" s="6"/>
      <c r="E312" s="6"/>
    </row>
    <row r="313" spans="4:5" x14ac:dyDescent="0.25">
      <c r="D313" s="6"/>
      <c r="E313" s="6"/>
    </row>
    <row r="314" spans="4:5" x14ac:dyDescent="0.25">
      <c r="D314" s="6"/>
      <c r="E314" s="6"/>
    </row>
    <row r="315" spans="4:5" x14ac:dyDescent="0.25">
      <c r="D315" s="6"/>
      <c r="E315" s="6"/>
    </row>
    <row r="316" spans="4:5" x14ac:dyDescent="0.25">
      <c r="D316" s="6"/>
      <c r="E316" s="6"/>
    </row>
    <row r="317" spans="4:5" x14ac:dyDescent="0.25">
      <c r="D317" s="6"/>
      <c r="E317" s="6"/>
    </row>
    <row r="318" spans="4:5" x14ac:dyDescent="0.25">
      <c r="D318" s="6"/>
      <c r="E318" s="6"/>
    </row>
    <row r="319" spans="4:5" x14ac:dyDescent="0.25">
      <c r="D319" s="6"/>
      <c r="E319" s="6"/>
    </row>
    <row r="320" spans="4:5" x14ac:dyDescent="0.25">
      <c r="D320" s="6"/>
      <c r="E320" s="6"/>
    </row>
    <row r="321" spans="4:5" x14ac:dyDescent="0.25">
      <c r="D321" s="6"/>
      <c r="E321" s="6"/>
    </row>
    <row r="322" spans="4:5" x14ac:dyDescent="0.25">
      <c r="D322" s="6"/>
      <c r="E322" s="6"/>
    </row>
    <row r="323" spans="4:5" x14ac:dyDescent="0.25">
      <c r="D323" s="6"/>
      <c r="E323" s="6"/>
    </row>
    <row r="324" spans="4:5" x14ac:dyDescent="0.25">
      <c r="D324" s="6"/>
      <c r="E324" s="6"/>
    </row>
    <row r="325" spans="4:5" x14ac:dyDescent="0.25">
      <c r="D325" s="6"/>
      <c r="E325" s="6"/>
    </row>
    <row r="326" spans="4:5" x14ac:dyDescent="0.25">
      <c r="D326" s="6"/>
      <c r="E326" s="6"/>
    </row>
    <row r="327" spans="4:5" x14ac:dyDescent="0.25">
      <c r="D327" s="6"/>
      <c r="E327" s="6"/>
    </row>
    <row r="328" spans="4:5" x14ac:dyDescent="0.25">
      <c r="D328" s="6"/>
      <c r="E328" s="6"/>
    </row>
    <row r="329" spans="4:5" x14ac:dyDescent="0.25">
      <c r="D329" s="6"/>
      <c r="E329" s="6"/>
    </row>
    <row r="330" spans="4:5" x14ac:dyDescent="0.25">
      <c r="D330" s="6"/>
      <c r="E330" s="6"/>
    </row>
    <row r="331" spans="4:5" x14ac:dyDescent="0.25">
      <c r="D331" s="6"/>
      <c r="E331" s="6"/>
    </row>
    <row r="332" spans="4:5" x14ac:dyDescent="0.25">
      <c r="D332" s="6"/>
      <c r="E332" s="6"/>
    </row>
    <row r="333" spans="4:5" x14ac:dyDescent="0.25">
      <c r="D333" s="6"/>
      <c r="E333" s="6"/>
    </row>
    <row r="334" spans="4:5" x14ac:dyDescent="0.25">
      <c r="D334" s="6"/>
      <c r="E334" s="6"/>
    </row>
    <row r="335" spans="4:5" x14ac:dyDescent="0.25">
      <c r="D335" s="6"/>
      <c r="E335" s="6"/>
    </row>
    <row r="336" spans="4:5" x14ac:dyDescent="0.25">
      <c r="D336" s="6"/>
      <c r="E336" s="6"/>
    </row>
    <row r="337" spans="4:5" x14ac:dyDescent="0.25">
      <c r="D337" s="6"/>
      <c r="E337" s="6"/>
    </row>
    <row r="338" spans="4:5" x14ac:dyDescent="0.25">
      <c r="D338" s="6"/>
      <c r="E338" s="6"/>
    </row>
    <row r="339" spans="4:5" x14ac:dyDescent="0.25">
      <c r="D339" s="6"/>
      <c r="E339" s="6"/>
    </row>
    <row r="340" spans="4:5" x14ac:dyDescent="0.25">
      <c r="D340" s="6"/>
      <c r="E340" s="6"/>
    </row>
    <row r="341" spans="4:5" x14ac:dyDescent="0.25">
      <c r="D341" s="6"/>
      <c r="E341" s="6"/>
    </row>
    <row r="342" spans="4:5" x14ac:dyDescent="0.25">
      <c r="D342" s="6"/>
      <c r="E342" s="6"/>
    </row>
    <row r="343" spans="4:5" x14ac:dyDescent="0.25">
      <c r="D343" s="6"/>
      <c r="E343" s="6"/>
    </row>
    <row r="344" spans="4:5" x14ac:dyDescent="0.25">
      <c r="D344" s="6"/>
      <c r="E344" s="6"/>
    </row>
    <row r="345" spans="4:5" x14ac:dyDescent="0.25">
      <c r="D345" s="6"/>
      <c r="E345" s="6"/>
    </row>
    <row r="346" spans="4:5" x14ac:dyDescent="0.25">
      <c r="D346" s="6"/>
      <c r="E346" s="6"/>
    </row>
    <row r="347" spans="4:5" x14ac:dyDescent="0.25">
      <c r="D347" s="6"/>
      <c r="E347" s="6"/>
    </row>
    <row r="348" spans="4:5" x14ac:dyDescent="0.25">
      <c r="D348" s="6"/>
      <c r="E348" s="6"/>
    </row>
    <row r="349" spans="4:5" x14ac:dyDescent="0.25">
      <c r="D349" s="6"/>
      <c r="E349" s="6"/>
    </row>
    <row r="350" spans="4:5" x14ac:dyDescent="0.25">
      <c r="D350" s="6"/>
      <c r="E350" s="6"/>
    </row>
    <row r="351" spans="4:5" x14ac:dyDescent="0.25">
      <c r="D351" s="6"/>
      <c r="E351" s="6"/>
    </row>
    <row r="352" spans="4:5" x14ac:dyDescent="0.25">
      <c r="D352" s="6"/>
      <c r="E352" s="6"/>
    </row>
    <row r="353" spans="4:5" x14ac:dyDescent="0.25">
      <c r="D353" s="6"/>
      <c r="E353" s="6"/>
    </row>
    <row r="354" spans="4:5" x14ac:dyDescent="0.25">
      <c r="D354" s="6"/>
      <c r="E354" s="6"/>
    </row>
    <row r="355" spans="4:5" x14ac:dyDescent="0.25">
      <c r="D355" s="6"/>
      <c r="E355" s="6"/>
    </row>
    <row r="356" spans="4:5" x14ac:dyDescent="0.25">
      <c r="D356" s="6"/>
      <c r="E356" s="6"/>
    </row>
    <row r="357" spans="4:5" x14ac:dyDescent="0.25">
      <c r="D357" s="6"/>
      <c r="E357" s="6"/>
    </row>
    <row r="358" spans="4:5" x14ac:dyDescent="0.25">
      <c r="D358" s="6"/>
      <c r="E358" s="6"/>
    </row>
    <row r="359" spans="4:5" x14ac:dyDescent="0.25">
      <c r="D359" s="6"/>
      <c r="E359" s="6"/>
    </row>
    <row r="360" spans="4:5" x14ac:dyDescent="0.25">
      <c r="D360" s="6"/>
      <c r="E360" s="6"/>
    </row>
    <row r="361" spans="4:5" x14ac:dyDescent="0.25">
      <c r="D361" s="6"/>
      <c r="E361" s="6"/>
    </row>
    <row r="362" spans="4:5" x14ac:dyDescent="0.25">
      <c r="D362" s="6"/>
      <c r="E362" s="6"/>
    </row>
    <row r="363" spans="4:5" x14ac:dyDescent="0.25">
      <c r="D363" s="6"/>
      <c r="E363" s="6"/>
    </row>
    <row r="364" spans="4:5" x14ac:dyDescent="0.25">
      <c r="D364" s="6"/>
      <c r="E364" s="6"/>
    </row>
    <row r="365" spans="4:5" x14ac:dyDescent="0.25">
      <c r="D365" s="6"/>
      <c r="E365" s="6"/>
    </row>
    <row r="366" spans="4:5" x14ac:dyDescent="0.25">
      <c r="D366" s="6"/>
      <c r="E366" s="6"/>
    </row>
    <row r="367" spans="4:5" x14ac:dyDescent="0.25">
      <c r="D367" s="6"/>
      <c r="E367" s="6"/>
    </row>
    <row r="368" spans="4:5" x14ac:dyDescent="0.25">
      <c r="D368" s="6"/>
      <c r="E368" s="6"/>
    </row>
    <row r="369" spans="4:5" x14ac:dyDescent="0.25">
      <c r="D369" s="6"/>
      <c r="E369" s="6"/>
    </row>
    <row r="370" spans="4:5" x14ac:dyDescent="0.25">
      <c r="D370" s="6"/>
      <c r="E370" s="6"/>
    </row>
    <row r="371" spans="4:5" x14ac:dyDescent="0.25">
      <c r="D371" s="6"/>
      <c r="E371" s="6"/>
    </row>
    <row r="372" spans="4:5" x14ac:dyDescent="0.25">
      <c r="D372" s="6"/>
      <c r="E372" s="6"/>
    </row>
    <row r="373" spans="4:5" x14ac:dyDescent="0.25">
      <c r="D373" s="6"/>
      <c r="E373" s="6"/>
    </row>
    <row r="374" spans="4:5" x14ac:dyDescent="0.25">
      <c r="D374" s="6"/>
      <c r="E374" s="6"/>
    </row>
    <row r="375" spans="4:5" x14ac:dyDescent="0.25">
      <c r="D375" s="6"/>
      <c r="E375" s="6"/>
    </row>
    <row r="376" spans="4:5" x14ac:dyDescent="0.25">
      <c r="D376" s="6"/>
      <c r="E376" s="6"/>
    </row>
    <row r="377" spans="4:5" x14ac:dyDescent="0.25">
      <c r="D377" s="6"/>
      <c r="E377" s="6"/>
    </row>
    <row r="378" spans="4:5" x14ac:dyDescent="0.25">
      <c r="D378" s="6"/>
      <c r="E378" s="6"/>
    </row>
    <row r="379" spans="4:5" x14ac:dyDescent="0.25">
      <c r="D379" s="6"/>
      <c r="E379" s="6"/>
    </row>
    <row r="380" spans="4:5" x14ac:dyDescent="0.25">
      <c r="D380" s="6"/>
      <c r="E380" s="6"/>
    </row>
    <row r="381" spans="4:5" x14ac:dyDescent="0.25">
      <c r="D381" s="6"/>
      <c r="E381" s="6"/>
    </row>
    <row r="382" spans="4:5" x14ac:dyDescent="0.25">
      <c r="D382" s="6"/>
      <c r="E382" s="6"/>
    </row>
    <row r="383" spans="4:5" x14ac:dyDescent="0.25">
      <c r="D383" s="6"/>
      <c r="E383" s="6"/>
    </row>
    <row r="384" spans="4:5" x14ac:dyDescent="0.25">
      <c r="D384" s="6"/>
      <c r="E384" s="6"/>
    </row>
    <row r="385" spans="4:5" x14ac:dyDescent="0.25">
      <c r="D385" s="6"/>
      <c r="E385" s="6"/>
    </row>
    <row r="386" spans="4:5" x14ac:dyDescent="0.25">
      <c r="D386" s="6"/>
      <c r="E386" s="6"/>
    </row>
    <row r="387" spans="4:5" x14ac:dyDescent="0.25">
      <c r="D387" s="6"/>
      <c r="E387" s="6"/>
    </row>
    <row r="388" spans="4:5" x14ac:dyDescent="0.25">
      <c r="D388" s="6"/>
      <c r="E388" s="6"/>
    </row>
    <row r="389" spans="4:5" x14ac:dyDescent="0.25">
      <c r="D389" s="6"/>
      <c r="E389" s="6"/>
    </row>
    <row r="390" spans="4:5" x14ac:dyDescent="0.25">
      <c r="D390" s="6"/>
      <c r="E390" s="6"/>
    </row>
    <row r="391" spans="4:5" x14ac:dyDescent="0.25">
      <c r="D391" s="6"/>
      <c r="E391" s="6"/>
    </row>
    <row r="392" spans="4:5" x14ac:dyDescent="0.25">
      <c r="D392" s="6"/>
      <c r="E392" s="6"/>
    </row>
    <row r="393" spans="4:5" x14ac:dyDescent="0.25">
      <c r="D393" s="6"/>
      <c r="E393" s="6"/>
    </row>
    <row r="394" spans="4:5" x14ac:dyDescent="0.25">
      <c r="D394" s="6"/>
      <c r="E394" s="6"/>
    </row>
    <row r="395" spans="4:5" x14ac:dyDescent="0.25">
      <c r="D395" s="6"/>
      <c r="E395" s="6"/>
    </row>
    <row r="396" spans="4:5" x14ac:dyDescent="0.25">
      <c r="D396" s="6"/>
      <c r="E396" s="6"/>
    </row>
    <row r="397" spans="4:5" x14ac:dyDescent="0.25">
      <c r="D397" s="6"/>
      <c r="E397" s="6"/>
    </row>
    <row r="398" spans="4:5" x14ac:dyDescent="0.25">
      <c r="D398" s="6"/>
      <c r="E398" s="6"/>
    </row>
    <row r="399" spans="4:5" x14ac:dyDescent="0.25">
      <c r="D399" s="6"/>
      <c r="E399" s="6"/>
    </row>
    <row r="400" spans="4:5" x14ac:dyDescent="0.25">
      <c r="D400" s="6"/>
      <c r="E400" s="6"/>
    </row>
    <row r="401" spans="4:5" x14ac:dyDescent="0.25">
      <c r="D401" s="6"/>
      <c r="E401" s="6"/>
    </row>
    <row r="402" spans="4:5" x14ac:dyDescent="0.25">
      <c r="D402" s="6"/>
      <c r="E402" s="6"/>
    </row>
    <row r="403" spans="4:5" x14ac:dyDescent="0.25">
      <c r="D403" s="6"/>
      <c r="E403" s="6"/>
    </row>
    <row r="404" spans="4:5" x14ac:dyDescent="0.25">
      <c r="D404" s="6"/>
      <c r="E404" s="6"/>
    </row>
    <row r="405" spans="4:5" x14ac:dyDescent="0.25">
      <c r="D405" s="6"/>
      <c r="E405" s="6"/>
    </row>
    <row r="406" spans="4:5" x14ac:dyDescent="0.25">
      <c r="D406" s="6"/>
      <c r="E406" s="6"/>
    </row>
    <row r="407" spans="4:5" x14ac:dyDescent="0.25">
      <c r="D407" s="6"/>
      <c r="E407" s="6"/>
    </row>
    <row r="408" spans="4:5" x14ac:dyDescent="0.25">
      <c r="D408" s="6"/>
      <c r="E408" s="6"/>
    </row>
    <row r="409" spans="4:5" x14ac:dyDescent="0.25">
      <c r="D409" s="6"/>
      <c r="E409" s="6"/>
    </row>
    <row r="410" spans="4:5" x14ac:dyDescent="0.25">
      <c r="D410" s="6"/>
      <c r="E410" s="6"/>
    </row>
    <row r="411" spans="4:5" x14ac:dyDescent="0.25">
      <c r="D411" s="6"/>
      <c r="E411" s="6"/>
    </row>
    <row r="412" spans="4:5" x14ac:dyDescent="0.25">
      <c r="D412" s="6"/>
      <c r="E412" s="6"/>
    </row>
    <row r="413" spans="4:5" x14ac:dyDescent="0.25">
      <c r="D413" s="6"/>
      <c r="E413" s="6"/>
    </row>
    <row r="414" spans="4:5" x14ac:dyDescent="0.25">
      <c r="D414" s="6"/>
      <c r="E414" s="6"/>
    </row>
    <row r="415" spans="4:5" x14ac:dyDescent="0.25">
      <c r="D415" s="6"/>
      <c r="E415" s="6"/>
    </row>
    <row r="416" spans="4:5" x14ac:dyDescent="0.25">
      <c r="D416" s="6"/>
      <c r="E416" s="6"/>
    </row>
  </sheetData>
  <mergeCells count="3">
    <mergeCell ref="A1:B1"/>
    <mergeCell ref="D1:E1"/>
    <mergeCell ref="O12:P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Static Loads</vt:lpstr>
      <vt:lpstr>Sheet1</vt:lpstr>
      <vt:lpstr>Cyclic Loads</vt:lpstr>
      <vt:lpstr>Load-Disp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Davis</dc:creator>
  <cp:lastModifiedBy>Ryan Williams</cp:lastModifiedBy>
  <dcterms:created xsi:type="dcterms:W3CDTF">2024-06-27T19:10:51Z</dcterms:created>
  <dcterms:modified xsi:type="dcterms:W3CDTF">2024-07-25T20:08:52Z</dcterms:modified>
</cp:coreProperties>
</file>