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13_ncr:1_{B3CAF478-7520-4A04-A8F4-CE0FAA95E16C}" xr6:coauthVersionLast="47" xr6:coauthVersionMax="47" xr10:uidLastSave="{00000000-0000-0000-0000-000000000000}"/>
  <bookViews>
    <workbookView xWindow="-120" yWindow="-120" windowWidth="29040" windowHeight="15840" activeTab="1" xr2:uid="{A30BDCE6-88ED-44A9-8C7E-89A982C9133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K33" i="1"/>
  <c r="B16" i="1"/>
  <c r="B13" i="1"/>
  <c r="A8" i="1"/>
  <c r="A4" i="1"/>
</calcChain>
</file>

<file path=xl/sharedStrings.xml><?xml version="1.0" encoding="utf-8"?>
<sst xmlns="http://schemas.openxmlformats.org/spreadsheetml/2006/main" count="32" uniqueCount="18">
  <si>
    <t>vertical load [lbf]</t>
  </si>
  <si>
    <t>horizontal load [lbf]</t>
  </si>
  <si>
    <t>converged?</t>
  </si>
  <si>
    <t>Yes</t>
  </si>
  <si>
    <t>No</t>
  </si>
  <si>
    <t>YEs</t>
  </si>
  <si>
    <t>no</t>
  </si>
  <si>
    <t>yes</t>
  </si>
  <si>
    <t>Pump Number</t>
  </si>
  <si>
    <t>ATVS Number</t>
  </si>
  <si>
    <t>Run Life Predicted by Model [Years]</t>
  </si>
  <si>
    <t>Run Life Given [Years]</t>
  </si>
  <si>
    <t>Model Training Set</t>
  </si>
  <si>
    <t>Model Testing Set - Pump 21</t>
  </si>
  <si>
    <t>Pump Run Life Given [Years]</t>
  </si>
  <si>
    <t>Pump Run Life Predicted by Model [Years]</t>
  </si>
  <si>
    <t>max</t>
  </si>
  <si>
    <t>yesyt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</si>
</sst>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0.10392676919609081"/>
                  <c:y val="-6.9738453343876475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EAA-4F45-94E5-328452428C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5.1480533683289587E-2"/>
                  <c:y val="0.12421150481189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Sheet3!$A$2:$A$6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52.3</c:v>
                </c:pt>
              </c:numCache>
            </c:numRef>
          </c:xVal>
          <c:yVal>
            <c:numRef>
              <c:f>Sheet3!$B$2:$B$6</c:f>
              <c:numCache>
                <c:formatCode>General</c:formatCode>
                <c:ptCount val="5"/>
                <c:pt idx="0">
                  <c:v>5.4</c:v>
                </c:pt>
                <c:pt idx="1">
                  <c:v>11</c:v>
                </c:pt>
                <c:pt idx="2">
                  <c:v>22</c:v>
                </c:pt>
                <c:pt idx="3">
                  <c:v>45</c:v>
                </c:pt>
                <c:pt idx="4">
                  <c:v>254.69068135335723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A-4F45-94E5-328452428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12912"/>
        <c:axId val="537714352"/>
      </c:scatterChart>
      <c:valAx>
        <c:axId val="53771291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14352"/>
        <c:crosses val="autoZero"/>
        <c:crossBetween val="midCat"/>
      </c:valAx>
      <c:valAx>
        <c:axId val="5377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1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6</xdr:row>
      <xdr:rowOff>33336</xdr:rowOff>
    </xdr:from>
    <xdr:to>
      <xdr:col>13</xdr:col>
      <xdr:colOff>447674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59DDF-3F57-3078-E2E5-8913F6EE2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281C-9F53-4503-962C-8BC3CA299525}">
  <dimension ref="A1:K33"/>
  <sheetViews>
    <sheetView topLeftCell="A2" workbookViewId="0">
      <selection activeCell="I18" sqref="I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>
        <v>0</v>
      </c>
      <c r="C2" t="s">
        <v>3</v>
      </c>
    </row>
    <row r="3" spans="1:3" x14ac:dyDescent="0.25">
      <c r="A3">
        <v>100000</v>
      </c>
      <c r="B3">
        <v>0</v>
      </c>
      <c r="C3" t="s">
        <v>4</v>
      </c>
    </row>
    <row r="4" spans="1:3" x14ac:dyDescent="0.25">
      <c r="A4">
        <f>AVERAGE(A2:A3)</f>
        <v>50050</v>
      </c>
      <c r="B4">
        <v>0</v>
      </c>
      <c r="C4" t="s">
        <v>4</v>
      </c>
    </row>
    <row r="5" spans="1:3" x14ac:dyDescent="0.25">
      <c r="A5">
        <v>25000</v>
      </c>
      <c r="B5">
        <v>0</v>
      </c>
      <c r="C5" t="s">
        <v>3</v>
      </c>
    </row>
    <row r="6" spans="1:3" x14ac:dyDescent="0.25">
      <c r="A6">
        <v>37500</v>
      </c>
      <c r="B6">
        <v>0</v>
      </c>
      <c r="C6" t="s">
        <v>5</v>
      </c>
    </row>
    <row r="7" spans="1:3" x14ac:dyDescent="0.25">
      <c r="A7">
        <v>43750</v>
      </c>
      <c r="B7">
        <v>0</v>
      </c>
      <c r="C7" t="s">
        <v>6</v>
      </c>
    </row>
    <row r="8" spans="1:3" x14ac:dyDescent="0.25">
      <c r="A8">
        <f>AVERAGE(A6:A7)</f>
        <v>40625</v>
      </c>
      <c r="B8">
        <v>0</v>
      </c>
      <c r="C8" t="s">
        <v>7</v>
      </c>
    </row>
    <row r="9" spans="1:3" x14ac:dyDescent="0.25">
      <c r="A9">
        <v>42185</v>
      </c>
      <c r="B9">
        <v>0</v>
      </c>
      <c r="C9" t="s">
        <v>3</v>
      </c>
    </row>
    <row r="10" spans="1:3" x14ac:dyDescent="0.25">
      <c r="A10">
        <v>42965</v>
      </c>
      <c r="B10">
        <v>0</v>
      </c>
      <c r="C10" t="s">
        <v>7</v>
      </c>
    </row>
    <row r="11" spans="1:3" x14ac:dyDescent="0.25">
      <c r="A11">
        <v>43355</v>
      </c>
      <c r="B11">
        <v>0</v>
      </c>
      <c r="C11" t="s">
        <v>6</v>
      </c>
    </row>
    <row r="12" spans="1:3" x14ac:dyDescent="0.25">
      <c r="A12" t="s">
        <v>16</v>
      </c>
      <c r="B12">
        <v>140000</v>
      </c>
      <c r="C12" t="s">
        <v>6</v>
      </c>
    </row>
    <row r="13" spans="1:3" x14ac:dyDescent="0.25">
      <c r="B13">
        <f>0.5*B12</f>
        <v>70000</v>
      </c>
      <c r="C13" t="s">
        <v>6</v>
      </c>
    </row>
    <row r="14" spans="1:3" x14ac:dyDescent="0.25">
      <c r="B14">
        <v>30000</v>
      </c>
      <c r="C14" t="s">
        <v>6</v>
      </c>
    </row>
    <row r="15" spans="1:3" x14ac:dyDescent="0.25">
      <c r="B15">
        <v>10000</v>
      </c>
      <c r="C15" t="s">
        <v>17</v>
      </c>
    </row>
    <row r="16" spans="1:3" x14ac:dyDescent="0.25">
      <c r="B16">
        <f>AVERAGE(B14:B15)</f>
        <v>20000</v>
      </c>
      <c r="C16" t="s">
        <v>6</v>
      </c>
    </row>
    <row r="19" spans="1:11" x14ac:dyDescent="0.25">
      <c r="A19">
        <v>75</v>
      </c>
    </row>
    <row r="20" spans="1:11" x14ac:dyDescent="0.25">
      <c r="A20">
        <v>20</v>
      </c>
      <c r="B20" t="s">
        <v>6</v>
      </c>
    </row>
    <row r="21" spans="1:11" x14ac:dyDescent="0.25">
      <c r="A21">
        <v>45</v>
      </c>
      <c r="B21" t="s">
        <v>7</v>
      </c>
    </row>
    <row r="22" spans="1:11" x14ac:dyDescent="0.25">
      <c r="A22">
        <v>32</v>
      </c>
      <c r="B22" t="s">
        <v>7</v>
      </c>
    </row>
    <row r="23" spans="1:11" x14ac:dyDescent="0.25">
      <c r="A23">
        <v>25</v>
      </c>
    </row>
    <row r="31" spans="1:11" x14ac:dyDescent="0.25">
      <c r="K31">
        <v>166.7</v>
      </c>
    </row>
    <row r="32" spans="1:11" x14ac:dyDescent="0.25">
      <c r="K32">
        <v>215.9</v>
      </c>
    </row>
    <row r="33" spans="11:11" x14ac:dyDescent="0.25">
      <c r="K33">
        <f>K32-K31</f>
        <v>49.200000000000017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9AED-3A3B-4942-A730-A34C2E6E8DD9}">
  <dimension ref="A2:B6"/>
  <sheetViews>
    <sheetView tabSelected="1" workbookViewId="0">
      <selection activeCell="R20" sqref="R20"/>
    </sheetView>
  </sheetViews>
  <sheetFormatPr defaultRowHeight="15" x14ac:dyDescent="0.25"/>
  <sheetData>
    <row r="2" spans="1:2" x14ac:dyDescent="0.25">
      <c r="A2">
        <v>25</v>
      </c>
      <c r="B2">
        <v>5.4</v>
      </c>
    </row>
    <row r="3" spans="1:2" x14ac:dyDescent="0.25">
      <c r="A3">
        <v>30</v>
      </c>
      <c r="B3">
        <v>11</v>
      </c>
    </row>
    <row r="4" spans="1:2" x14ac:dyDescent="0.25">
      <c r="A4">
        <v>35</v>
      </c>
      <c r="B4">
        <v>22</v>
      </c>
    </row>
    <row r="5" spans="1:2" x14ac:dyDescent="0.25">
      <c r="A5">
        <v>40</v>
      </c>
      <c r="B5">
        <v>45</v>
      </c>
    </row>
    <row r="6" spans="1:2" x14ac:dyDescent="0.25">
      <c r="A6">
        <v>52.3</v>
      </c>
      <c r="B6">
        <f>0.1589*EXP(0.1411*A6)</f>
        <v>254.69068135335723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7B81-5C5F-420A-A10A-2F9FD24F3196}">
  <dimension ref="A3:D20"/>
  <sheetViews>
    <sheetView workbookViewId="0">
      <selection activeCell="G21" sqref="G21"/>
    </sheetView>
  </sheetViews>
  <sheetFormatPr defaultRowHeight="15" x14ac:dyDescent="0.25"/>
  <cols>
    <col min="1" max="1" width="9.85546875" style="1" customWidth="1"/>
    <col min="2" max="2" width="10.42578125" style="1" customWidth="1"/>
    <col min="3" max="3" width="18.42578125" style="1" customWidth="1"/>
    <col min="4" max="4" width="24.28515625" style="1" customWidth="1"/>
    <col min="5" max="16384" width="9.140625" style="1"/>
  </cols>
  <sheetData>
    <row r="3" spans="1:4" x14ac:dyDescent="0.25">
      <c r="A3" s="5" t="s">
        <v>12</v>
      </c>
      <c r="B3" s="5"/>
      <c r="C3" s="5"/>
      <c r="D3" s="5"/>
    </row>
    <row r="4" spans="1:4" ht="30" x14ac:dyDescent="0.25">
      <c r="A4" s="2" t="s">
        <v>9</v>
      </c>
      <c r="B4" s="2" t="s">
        <v>8</v>
      </c>
      <c r="C4" s="2" t="s">
        <v>14</v>
      </c>
      <c r="D4" s="2" t="s">
        <v>15</v>
      </c>
    </row>
    <row r="5" spans="1:4" x14ac:dyDescent="0.25">
      <c r="A5" s="3">
        <v>1</v>
      </c>
      <c r="B5" s="3">
        <v>22</v>
      </c>
      <c r="C5" s="3">
        <v>15</v>
      </c>
      <c r="D5" s="4">
        <v>13.281000000000001</v>
      </c>
    </row>
    <row r="6" spans="1:4" x14ac:dyDescent="0.25">
      <c r="A6" s="3">
        <v>1</v>
      </c>
      <c r="B6" s="3">
        <v>22</v>
      </c>
      <c r="C6" s="3">
        <v>15</v>
      </c>
      <c r="D6" s="4">
        <v>12.640700000000001</v>
      </c>
    </row>
    <row r="7" spans="1:4" x14ac:dyDescent="0.25">
      <c r="A7" s="3">
        <v>1</v>
      </c>
      <c r="B7" s="3">
        <v>23</v>
      </c>
      <c r="C7" s="3">
        <v>2</v>
      </c>
      <c r="D7" s="4">
        <v>3.2227000000000001</v>
      </c>
    </row>
    <row r="8" spans="1:4" x14ac:dyDescent="0.25">
      <c r="A8" s="3">
        <v>1</v>
      </c>
      <c r="B8" s="3">
        <v>12</v>
      </c>
      <c r="C8" s="3">
        <v>7</v>
      </c>
      <c r="D8" s="4">
        <v>7.9348999999999998</v>
      </c>
    </row>
    <row r="9" spans="1:4" x14ac:dyDescent="0.25">
      <c r="A9" s="3">
        <v>1</v>
      </c>
      <c r="B9" s="3">
        <v>13</v>
      </c>
      <c r="C9" s="3">
        <v>17</v>
      </c>
      <c r="D9" s="4">
        <v>16.016300000000001</v>
      </c>
    </row>
    <row r="10" spans="1:4" x14ac:dyDescent="0.25">
      <c r="A10" s="3">
        <v>1</v>
      </c>
      <c r="B10" s="3">
        <v>14</v>
      </c>
      <c r="C10" s="3">
        <v>7</v>
      </c>
      <c r="D10" s="4">
        <v>7.9126000000000003</v>
      </c>
    </row>
    <row r="11" spans="1:4" x14ac:dyDescent="0.25">
      <c r="A11" s="3">
        <v>2</v>
      </c>
      <c r="B11" s="3">
        <v>22</v>
      </c>
      <c r="C11" s="3">
        <v>15</v>
      </c>
      <c r="D11" s="4">
        <v>16.339400000000001</v>
      </c>
    </row>
    <row r="12" spans="1:4" x14ac:dyDescent="0.25">
      <c r="A12" s="3">
        <v>2</v>
      </c>
      <c r="B12" s="3">
        <v>22</v>
      </c>
      <c r="C12" s="3">
        <v>15</v>
      </c>
      <c r="D12" s="4">
        <v>16.8474</v>
      </c>
    </row>
    <row r="13" spans="1:4" x14ac:dyDescent="0.25">
      <c r="A13" s="3">
        <v>2</v>
      </c>
      <c r="B13" s="3">
        <v>23</v>
      </c>
      <c r="C13" s="3">
        <v>2</v>
      </c>
      <c r="D13" s="4">
        <v>0.67469999999999997</v>
      </c>
    </row>
    <row r="14" spans="1:4" x14ac:dyDescent="0.25">
      <c r="A14" s="3">
        <v>2</v>
      </c>
      <c r="B14" s="3">
        <v>12</v>
      </c>
      <c r="C14" s="3">
        <v>7</v>
      </c>
      <c r="D14" s="4">
        <v>6.8613</v>
      </c>
    </row>
    <row r="15" spans="1:4" x14ac:dyDescent="0.25">
      <c r="A15" s="3">
        <v>2</v>
      </c>
      <c r="B15" s="3">
        <v>13</v>
      </c>
      <c r="C15" s="3">
        <v>17</v>
      </c>
      <c r="D15" s="4">
        <v>16.622199999999999</v>
      </c>
    </row>
    <row r="16" spans="1:4" x14ac:dyDescent="0.25">
      <c r="A16" s="3">
        <v>2</v>
      </c>
      <c r="B16" s="3">
        <v>14</v>
      </c>
      <c r="C16" s="3">
        <v>7</v>
      </c>
      <c r="D16" s="4">
        <v>7.6468999999999996</v>
      </c>
    </row>
    <row r="17" spans="1:4" x14ac:dyDescent="0.25">
      <c r="A17" s="5" t="s">
        <v>13</v>
      </c>
      <c r="B17" s="5"/>
      <c r="C17" s="5"/>
      <c r="D17" s="5"/>
    </row>
    <row r="18" spans="1:4" ht="30" x14ac:dyDescent="0.25">
      <c r="A18" s="2" t="s">
        <v>9</v>
      </c>
      <c r="B18" s="2" t="s">
        <v>8</v>
      </c>
      <c r="C18" s="2" t="s">
        <v>11</v>
      </c>
      <c r="D18" s="2" t="s">
        <v>10</v>
      </c>
    </row>
    <row r="19" spans="1:4" x14ac:dyDescent="0.25">
      <c r="A19" s="3">
        <v>1</v>
      </c>
      <c r="B19" s="3">
        <v>21</v>
      </c>
      <c r="C19" s="3">
        <v>19</v>
      </c>
      <c r="D19" s="4">
        <v>21.8841</v>
      </c>
    </row>
    <row r="20" spans="1:4" x14ac:dyDescent="0.25">
      <c r="A20" s="3">
        <v>2</v>
      </c>
      <c r="B20" s="3">
        <v>21</v>
      </c>
      <c r="C20" s="3">
        <v>19</v>
      </c>
      <c r="D20" s="4">
        <v>23.101099999999999</v>
      </c>
    </row>
  </sheetData>
  <mergeCells count="2">
    <mergeCell ref="A3:D3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2024-08-12T16:02:28Z</dcterms:created>
  <dcterms:modified xsi:type="dcterms:W3CDTF">2024-08-14T20:54:11Z</dcterms:modified>
</cp:coreProperties>
</file>