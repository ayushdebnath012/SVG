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https://tritonsys.sharepoint.com/sites/TritonAnchor/Shared Documents/Jobs/1002 - Teamer Stress Engineering Services/Working/2. Design/Soil Properties/"/>
    </mc:Choice>
  </mc:AlternateContent>
  <xr:revisionPtr revIDLastSave="2" documentId="8_{FD2A8033-E1C3-4C33-A4FF-FF4ADC0E933C}" xr6:coauthVersionLast="47" xr6:coauthVersionMax="47" xr10:uidLastSave="{DD226483-2B55-4E76-A284-414CCCF7E0FF}"/>
  <bookViews>
    <workbookView xWindow="-120" yWindow="-120" windowWidth="29040" windowHeight="15840" xr2:uid="{C720CBB2-69CC-4D37-ABF2-50AAA738D56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8" i="1" l="1"/>
  <c r="I18" i="1"/>
  <c r="F18" i="1"/>
  <c r="B23" i="1" s="1"/>
  <c r="E18" i="1"/>
  <c r="D18" i="1"/>
  <c r="C18" i="1"/>
  <c r="B22" i="1" s="1"/>
  <c r="G16" i="1"/>
  <c r="G15" i="1"/>
  <c r="G14" i="1"/>
  <c r="G13" i="1"/>
  <c r="G12" i="1"/>
  <c r="G11" i="1"/>
  <c r="G10" i="1"/>
  <c r="G9" i="1"/>
  <c r="G8" i="1"/>
  <c r="G7" i="1"/>
  <c r="G6" i="1"/>
  <c r="G18" i="1" s="1"/>
  <c r="B24" i="1" s="1"/>
</calcChain>
</file>

<file path=xl/sharedStrings.xml><?xml version="1.0" encoding="utf-8"?>
<sst xmlns="http://schemas.openxmlformats.org/spreadsheetml/2006/main" count="41" uniqueCount="21">
  <si>
    <r>
      <t xml:space="preserve">Averaged over every 10 readings - </t>
    </r>
    <r>
      <rPr>
        <i/>
        <sz val="11"/>
        <color rgb="FF000000"/>
        <rFont val="Aptos Narrow"/>
        <family val="2"/>
        <scheme val="minor"/>
      </rPr>
      <t>using this for the matlab script - Ansys Inputs</t>
    </r>
  </si>
  <si>
    <t>Soil profile 1: CPT 207</t>
  </si>
  <si>
    <t>Thickness</t>
  </si>
  <si>
    <t>Sand/ Clay</t>
  </si>
  <si>
    <t>Friction angle</t>
  </si>
  <si>
    <t>Unit Weight</t>
  </si>
  <si>
    <t>Rigidity index</t>
  </si>
  <si>
    <t>Initial Cohesion</t>
  </si>
  <si>
    <t>Dilatancy Angle</t>
  </si>
  <si>
    <t>Residual Inner Friction Angle</t>
  </si>
  <si>
    <t>Residual Cohesion</t>
  </si>
  <si>
    <t>ft</t>
  </si>
  <si>
    <t xml:space="preserve">degrees </t>
  </si>
  <si>
    <t>lbf/ft3</t>
  </si>
  <si>
    <t>psi</t>
  </si>
  <si>
    <t>degrees</t>
  </si>
  <si>
    <t>S</t>
  </si>
  <si>
    <t>Initial Inner Friction angle</t>
  </si>
  <si>
    <t>Top 3 Layer Averages (0-10 ft depth)</t>
  </si>
  <si>
    <t>deg</t>
  </si>
  <si>
    <t>Ansys Inputs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</si>
</sst>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0.0"/>
  </numFmts>
  <fonts count="7" x14ac:knownFonts="1">
    <font>
      <sz val="11"/>
      <color theme="1"/>
      <name val="Aptos Narrow"/>
      <family val="2"/>
      <scheme val="minor"/>
    </font>
    <font>
      <b/>
      <sz val="11"/>
      <color theme="1"/>
      <name val="Aptos Narrow"/>
      <family val="2"/>
      <scheme val="minor"/>
    </font>
    <font>
      <sz val="11"/>
      <color rgb="FF000000"/>
      <name val="Aptos Narrow"/>
      <family val="2"/>
      <scheme val="minor"/>
    </font>
    <font>
      <i/>
      <sz val="11"/>
      <color rgb="FF000000"/>
      <name val="Aptos Narrow"/>
      <family val="2"/>
      <scheme val="minor"/>
    </font>
    <font>
      <b/>
      <u/>
      <sz val="11"/>
      <color rgb="FF000000"/>
      <name val="Aptos Narrow"/>
      <family val="2"/>
      <scheme val="minor"/>
    </font>
    <font>
      <b/>
      <sz val="11"/>
      <color rgb="FF000000"/>
      <name val="Aptos Narrow"/>
      <family val="2"/>
      <scheme val="minor"/>
    </font>
    <font>
      <sz val="11"/>
      <color rgb="FF808080"/>
      <name val="Aptos Narrow"/>
      <family val="2"/>
      <scheme val="minor"/>
    </font>
  </fonts>
  <fills count="2">
    <fill>
      <patternFill patternType="none"/>
    </fill>
    <fill>
      <patternFill patternType="gray125"/>
    </fill>
  </fills>
  <borders count="14">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s>
  <cellStyleXfs count="1">
    <xf numFmtId="0" fontId="0" fillId="0" borderId="0"/>
  </cellStyleXfs>
  <cellXfs count="38">
    <xf numFmtId="0" fontId="0" fillId="0" borderId="0" xfId="0"/>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4" fillId="0" borderId="5" xfId="0" applyFont="1" applyBorder="1" applyAlignment="1">
      <alignment horizontal="center" vertical="center"/>
    </xf>
    <xf numFmtId="0" fontId="5" fillId="0" borderId="7" xfId="0" applyFont="1" applyBorder="1" applyAlignment="1">
      <alignment horizontal="center" vertical="center" wrapText="1"/>
    </xf>
    <xf numFmtId="0" fontId="5" fillId="0" borderId="8"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 xfId="0" applyFont="1" applyBorder="1" applyAlignment="1">
      <alignment horizontal="center" vertical="center" wrapText="1"/>
    </xf>
    <xf numFmtId="0" fontId="5" fillId="0" borderId="10" xfId="0" applyFont="1" applyBorder="1" applyAlignment="1">
      <alignment horizontal="center" vertical="center" wrapText="1"/>
    </xf>
    <xf numFmtId="0" fontId="6" fillId="0" borderId="8" xfId="0" applyFont="1" applyBorder="1" applyAlignment="1">
      <alignment horizontal="center" vertical="center" wrapText="1"/>
    </xf>
    <xf numFmtId="2" fontId="0" fillId="0" borderId="1" xfId="0" applyNumberFormat="1" applyBorder="1" applyAlignment="1">
      <alignment horizontal="center" vertical="center"/>
    </xf>
    <xf numFmtId="2" fontId="2" fillId="0" borderId="2" xfId="0" applyNumberFormat="1" applyFont="1" applyBorder="1" applyAlignment="1">
      <alignment horizontal="center" vertical="center"/>
    </xf>
    <xf numFmtId="2" fontId="0" fillId="0" borderId="2" xfId="0" applyNumberFormat="1" applyBorder="1" applyAlignment="1">
      <alignment horizontal="center" vertical="center"/>
    </xf>
    <xf numFmtId="2" fontId="0" fillId="0" borderId="3" xfId="0" applyNumberFormat="1" applyBorder="1" applyAlignment="1">
      <alignment horizontal="center" vertical="center"/>
    </xf>
    <xf numFmtId="2" fontId="0" fillId="0" borderId="0" xfId="0" applyNumberFormat="1" applyAlignment="1">
      <alignment horizontal="center" vertical="center"/>
    </xf>
    <xf numFmtId="2" fontId="0" fillId="0" borderId="11" xfId="0" applyNumberFormat="1" applyBorder="1" applyAlignment="1">
      <alignment horizontal="center" vertical="center"/>
    </xf>
    <xf numFmtId="2" fontId="2" fillId="0" borderId="0" xfId="0" applyNumberFormat="1" applyFont="1" applyAlignment="1">
      <alignment horizontal="center" vertical="center"/>
    </xf>
    <xf numFmtId="2" fontId="0" fillId="0" borderId="12" xfId="0" applyNumberFormat="1" applyBorder="1" applyAlignment="1">
      <alignment horizontal="center" vertical="center"/>
    </xf>
    <xf numFmtId="2" fontId="0" fillId="0" borderId="4" xfId="0" applyNumberFormat="1" applyBorder="1" applyAlignment="1">
      <alignment horizontal="center" vertical="center"/>
    </xf>
    <xf numFmtId="2" fontId="2" fillId="0" borderId="5" xfId="0" applyNumberFormat="1" applyFont="1" applyBorder="1" applyAlignment="1">
      <alignment horizontal="center" vertical="center"/>
    </xf>
    <xf numFmtId="2" fontId="0" fillId="0" borderId="5" xfId="0" applyNumberFormat="1" applyBorder="1" applyAlignment="1">
      <alignment horizontal="center" vertical="center"/>
    </xf>
    <xf numFmtId="2" fontId="0" fillId="0" borderId="6" xfId="0" applyNumberFormat="1" applyBorder="1" applyAlignment="1">
      <alignment horizontal="center" vertical="center"/>
    </xf>
    <xf numFmtId="0" fontId="0" fillId="0" borderId="0" xfId="0" applyAlignment="1">
      <alignment wrapText="1"/>
    </xf>
    <xf numFmtId="166" fontId="0" fillId="0" borderId="0" xfId="0" applyNumberFormat="1" applyAlignment="1">
      <alignment wrapText="1"/>
    </xf>
    <xf numFmtId="1" fontId="0" fillId="0" borderId="0" xfId="0" applyNumberFormat="1" applyAlignment="1">
      <alignment wrapText="1"/>
    </xf>
    <xf numFmtId="2" fontId="0" fillId="0" borderId="0" xfId="0" applyNumberFormat="1" applyBorder="1" applyAlignment="1">
      <alignment horizontal="center" vertical="center"/>
    </xf>
    <xf numFmtId="0" fontId="4" fillId="0" borderId="0" xfId="0" applyFont="1" applyBorder="1" applyAlignment="1">
      <alignment horizontal="center" vertical="center"/>
    </xf>
    <xf numFmtId="0" fontId="5" fillId="0" borderId="9" xfId="0" applyFont="1" applyBorder="1" applyAlignment="1">
      <alignment horizontal="center" vertical="center" wrapText="1"/>
    </xf>
    <xf numFmtId="0" fontId="6" fillId="0" borderId="9" xfId="0" applyFont="1" applyBorder="1" applyAlignment="1">
      <alignment horizontal="center" vertical="center" wrapText="1"/>
    </xf>
    <xf numFmtId="0" fontId="0" fillId="0" borderId="2" xfId="0" applyBorder="1"/>
    <xf numFmtId="0" fontId="0" fillId="0" borderId="0" xfId="0" applyBorder="1"/>
    <xf numFmtId="0" fontId="0" fillId="0" borderId="5" xfId="0" applyBorder="1"/>
    <xf numFmtId="0" fontId="0" fillId="0" borderId="13" xfId="0" applyBorder="1" applyAlignment="1">
      <alignment horizontal="center"/>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10" Type="http://schemas.openxmlformats.org/officeDocument/2006/relationships/customXml" Target="../customXml/item5.xml"/><Relationship Id="rId4" Type="http://schemas.openxmlformats.org/officeDocument/2006/relationships/sharedStrings" Target="sharedStrings.xml"/><Relationship Id="rId9"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5D537-5FE8-4284-A2C4-DC75BCC45333}">
  <dimension ref="A1:I26"/>
  <sheetViews>
    <sheetView tabSelected="1" workbookViewId="0">
      <selection activeCell="E25" sqref="E25"/>
    </sheetView>
  </sheetViews>
  <sheetFormatPr defaultRowHeight="15" x14ac:dyDescent="0.25"/>
  <cols>
    <col min="1" max="1" width="18.28515625" customWidth="1"/>
    <col min="6" max="6" width="12.5703125" customWidth="1"/>
    <col min="8" max="8" width="15.140625" customWidth="1"/>
    <col min="9" max="9" width="11.5703125" customWidth="1"/>
  </cols>
  <sheetData>
    <row r="1" spans="1:9" x14ac:dyDescent="0.25">
      <c r="A1" s="1" t="s">
        <v>0</v>
      </c>
      <c r="B1" s="2"/>
      <c r="C1" s="2"/>
      <c r="D1" s="2"/>
      <c r="E1" s="3"/>
    </row>
    <row r="2" spans="1:9" x14ac:dyDescent="0.25">
      <c r="A2" s="4"/>
      <c r="B2" s="5"/>
      <c r="C2" s="5"/>
      <c r="D2" s="5"/>
      <c r="E2" s="6"/>
    </row>
    <row r="3" spans="1:9" x14ac:dyDescent="0.25">
      <c r="A3" s="7" t="s">
        <v>1</v>
      </c>
      <c r="B3" s="7"/>
      <c r="C3" s="7"/>
      <c r="D3" s="7"/>
      <c r="E3" s="30"/>
    </row>
    <row r="4" spans="1:9" ht="30" x14ac:dyDescent="0.25">
      <c r="A4" s="8" t="s">
        <v>2</v>
      </c>
      <c r="B4" s="9" t="s">
        <v>3</v>
      </c>
      <c r="C4" s="10" t="s">
        <v>4</v>
      </c>
      <c r="D4" s="10" t="s">
        <v>5</v>
      </c>
      <c r="E4" s="31" t="s">
        <v>6</v>
      </c>
      <c r="F4" s="10" t="s">
        <v>7</v>
      </c>
      <c r="G4" s="10" t="s">
        <v>8</v>
      </c>
      <c r="H4" s="10" t="s">
        <v>9</v>
      </c>
      <c r="I4" s="10" t="s">
        <v>10</v>
      </c>
    </row>
    <row r="5" spans="1:9" x14ac:dyDescent="0.25">
      <c r="A5" s="11" t="s">
        <v>11</v>
      </c>
      <c r="B5" s="12"/>
      <c r="C5" s="13" t="s">
        <v>12</v>
      </c>
      <c r="D5" s="13" t="s">
        <v>13</v>
      </c>
      <c r="E5" s="31"/>
      <c r="F5" s="32" t="s">
        <v>14</v>
      </c>
      <c r="G5" s="32" t="s">
        <v>15</v>
      </c>
      <c r="H5" s="32" t="s">
        <v>15</v>
      </c>
      <c r="I5" s="32" t="s">
        <v>14</v>
      </c>
    </row>
    <row r="6" spans="1:9" x14ac:dyDescent="0.25">
      <c r="A6" s="14">
        <v>3.2808001</v>
      </c>
      <c r="B6" s="15" t="s">
        <v>16</v>
      </c>
      <c r="C6" s="16">
        <v>52.943052597799998</v>
      </c>
      <c r="D6" s="16">
        <v>88.145285553999997</v>
      </c>
      <c r="E6" s="29">
        <v>202.54148496400001</v>
      </c>
      <c r="F6" s="16">
        <v>0</v>
      </c>
      <c r="G6" s="33">
        <f>(C6-33)/0.8</f>
        <v>24.928815747249995</v>
      </c>
      <c r="H6" s="16">
        <v>0</v>
      </c>
      <c r="I6" s="17">
        <v>0</v>
      </c>
    </row>
    <row r="7" spans="1:9" x14ac:dyDescent="0.25">
      <c r="A7" s="19">
        <v>3.2808001</v>
      </c>
      <c r="B7" s="20" t="s">
        <v>16</v>
      </c>
      <c r="C7" s="18">
        <v>52.082161217600003</v>
      </c>
      <c r="D7" s="18">
        <v>115.260962456</v>
      </c>
      <c r="E7" s="29">
        <v>149.070609746</v>
      </c>
      <c r="F7" s="29">
        <v>0</v>
      </c>
      <c r="G7" s="34">
        <f t="shared" ref="G7:G16" si="0">(C7-33)/0.8</f>
        <v>23.852701522000004</v>
      </c>
      <c r="H7" s="29">
        <v>0</v>
      </c>
      <c r="I7" s="21">
        <v>0</v>
      </c>
    </row>
    <row r="8" spans="1:9" x14ac:dyDescent="0.25">
      <c r="A8" s="19">
        <v>3.2808001</v>
      </c>
      <c r="B8" s="20" t="s">
        <v>16</v>
      </c>
      <c r="C8" s="18">
        <v>51.874147739999998</v>
      </c>
      <c r="D8" s="18">
        <v>124.849216716</v>
      </c>
      <c r="E8" s="29">
        <v>127.98286346800001</v>
      </c>
      <c r="F8" s="29">
        <v>0</v>
      </c>
      <c r="G8" s="34">
        <f t="shared" si="0"/>
        <v>23.592684674999997</v>
      </c>
      <c r="H8" s="29">
        <v>0</v>
      </c>
      <c r="I8" s="21">
        <v>0</v>
      </c>
    </row>
    <row r="9" spans="1:9" x14ac:dyDescent="0.25">
      <c r="A9" s="19">
        <v>3.2808001</v>
      </c>
      <c r="B9" s="20" t="s">
        <v>16</v>
      </c>
      <c r="C9" s="18">
        <v>50.306981907400001</v>
      </c>
      <c r="D9" s="18">
        <v>126.48479630600001</v>
      </c>
      <c r="E9" s="29">
        <v>116.268093898</v>
      </c>
      <c r="F9" s="29">
        <v>0</v>
      </c>
      <c r="G9" s="34">
        <f t="shared" si="0"/>
        <v>21.633727384250001</v>
      </c>
      <c r="H9" s="29">
        <v>0</v>
      </c>
      <c r="I9" s="21">
        <v>0</v>
      </c>
    </row>
    <row r="10" spans="1:9" x14ac:dyDescent="0.25">
      <c r="A10" s="19">
        <v>3.2808001</v>
      </c>
      <c r="B10" s="20" t="s">
        <v>16</v>
      </c>
      <c r="C10" s="18">
        <v>48.587855920000003</v>
      </c>
      <c r="D10" s="18">
        <v>125.95167259</v>
      </c>
      <c r="E10" s="29">
        <v>108.55361325</v>
      </c>
      <c r="F10" s="29">
        <v>0</v>
      </c>
      <c r="G10" s="34">
        <f t="shared" si="0"/>
        <v>19.484819900000002</v>
      </c>
      <c r="H10" s="29">
        <v>0</v>
      </c>
      <c r="I10" s="21">
        <v>0</v>
      </c>
    </row>
    <row r="11" spans="1:9" x14ac:dyDescent="0.25">
      <c r="A11" s="19">
        <v>3.2808001</v>
      </c>
      <c r="B11" s="20" t="s">
        <v>16</v>
      </c>
      <c r="C11" s="18">
        <v>48.0282275852</v>
      </c>
      <c r="D11" s="18">
        <v>127.86364630999999</v>
      </c>
      <c r="E11" s="29">
        <v>102.880673898</v>
      </c>
      <c r="F11" s="29">
        <v>0</v>
      </c>
      <c r="G11" s="34">
        <f t="shared" si="0"/>
        <v>18.7852844815</v>
      </c>
      <c r="H11" s="29">
        <v>0</v>
      </c>
      <c r="I11" s="21">
        <v>0</v>
      </c>
    </row>
    <row r="12" spans="1:9" x14ac:dyDescent="0.25">
      <c r="A12" s="19">
        <v>3.2808001</v>
      </c>
      <c r="B12" s="20" t="s">
        <v>16</v>
      </c>
      <c r="C12" s="18">
        <v>47.676178752399998</v>
      </c>
      <c r="D12" s="18">
        <v>128.35379610000001</v>
      </c>
      <c r="E12" s="29">
        <v>98.342480934999998</v>
      </c>
      <c r="F12" s="29">
        <v>0</v>
      </c>
      <c r="G12" s="34">
        <f t="shared" si="0"/>
        <v>18.345223440499996</v>
      </c>
      <c r="H12" s="29">
        <v>0</v>
      </c>
      <c r="I12" s="21">
        <v>0</v>
      </c>
    </row>
    <row r="13" spans="1:9" x14ac:dyDescent="0.25">
      <c r="A13" s="19">
        <v>3.2808001</v>
      </c>
      <c r="B13" s="20" t="s">
        <v>16</v>
      </c>
      <c r="C13" s="18">
        <v>46.231882423999998</v>
      </c>
      <c r="D13" s="18">
        <v>127.109796546</v>
      </c>
      <c r="E13" s="29">
        <v>94.586839187999999</v>
      </c>
      <c r="F13" s="29">
        <v>0</v>
      </c>
      <c r="G13" s="34">
        <f t="shared" si="0"/>
        <v>16.539853029999996</v>
      </c>
      <c r="H13" s="29">
        <v>0</v>
      </c>
      <c r="I13" s="21">
        <v>0</v>
      </c>
    </row>
    <row r="14" spans="1:9" x14ac:dyDescent="0.25">
      <c r="A14" s="19">
        <v>3.2808001</v>
      </c>
      <c r="B14" s="20" t="s">
        <v>16</v>
      </c>
      <c r="C14" s="18">
        <v>43.351487868</v>
      </c>
      <c r="D14" s="18">
        <v>124.148742622</v>
      </c>
      <c r="E14" s="29">
        <v>91.446670897999994</v>
      </c>
      <c r="F14" s="29">
        <v>0</v>
      </c>
      <c r="G14" s="34">
        <f t="shared" si="0"/>
        <v>12.939359834999999</v>
      </c>
      <c r="H14" s="29">
        <v>0</v>
      </c>
      <c r="I14" s="21">
        <v>0</v>
      </c>
    </row>
    <row r="15" spans="1:9" x14ac:dyDescent="0.25">
      <c r="A15" s="19">
        <v>3.2808001</v>
      </c>
      <c r="B15" s="20" t="s">
        <v>16</v>
      </c>
      <c r="C15" s="18">
        <v>45.3006409766</v>
      </c>
      <c r="D15" s="18">
        <v>127.33111601</v>
      </c>
      <c r="E15" s="29">
        <v>88.935026489999998</v>
      </c>
      <c r="F15" s="29">
        <v>0</v>
      </c>
      <c r="G15" s="34">
        <f t="shared" si="0"/>
        <v>15.375801220750001</v>
      </c>
      <c r="H15" s="29">
        <v>0</v>
      </c>
      <c r="I15" s="21">
        <v>0</v>
      </c>
    </row>
    <row r="16" spans="1:9" x14ac:dyDescent="0.25">
      <c r="A16" s="22">
        <v>1.5091680460000001</v>
      </c>
      <c r="B16" s="23" t="s">
        <v>16</v>
      </c>
      <c r="C16" s="24">
        <v>45.272720090869598</v>
      </c>
      <c r="D16" s="24">
        <v>127.94019093913001</v>
      </c>
      <c r="E16" s="24">
        <v>87.157203556956503</v>
      </c>
      <c r="F16" s="24">
        <v>0</v>
      </c>
      <c r="G16" s="35">
        <f t="shared" si="0"/>
        <v>15.340900113586997</v>
      </c>
      <c r="H16" s="24">
        <v>0</v>
      </c>
      <c r="I16" s="25">
        <v>0</v>
      </c>
    </row>
    <row r="17" spans="1:9" x14ac:dyDescent="0.25">
      <c r="A17" s="36" t="s">
        <v>18</v>
      </c>
      <c r="B17" s="36"/>
      <c r="C17" s="36"/>
      <c r="D17" s="36"/>
      <c r="E17" s="36"/>
      <c r="F17" s="36"/>
      <c r="G17" s="36"/>
      <c r="H17" s="36"/>
      <c r="I17" s="36"/>
    </row>
    <row r="18" spans="1:9" x14ac:dyDescent="0.25">
      <c r="C18">
        <f t="shared" ref="A18:F18" si="1">AVERAGE(C6:C8)</f>
        <v>52.299787185133333</v>
      </c>
      <c r="D18">
        <f t="shared" si="1"/>
        <v>109.41848824200001</v>
      </c>
      <c r="E18">
        <f t="shared" si="1"/>
        <v>159.86498605933335</v>
      </c>
      <c r="F18">
        <f t="shared" si="1"/>
        <v>0</v>
      </c>
      <c r="G18">
        <f>AVERAGE(G6:G8)</f>
        <v>24.124733981416668</v>
      </c>
      <c r="H18">
        <f t="shared" ref="H18:I18" si="2">AVERAGE(H6:H8)</f>
        <v>0</v>
      </c>
      <c r="I18">
        <f t="shared" si="2"/>
        <v>0</v>
      </c>
    </row>
    <row r="21" spans="1:9" x14ac:dyDescent="0.25">
      <c r="A21" s="37" t="s">
        <v>20</v>
      </c>
    </row>
    <row r="22" spans="1:9" ht="30" x14ac:dyDescent="0.25">
      <c r="A22" s="26" t="s">
        <v>17</v>
      </c>
      <c r="B22" s="27">
        <f>C18</f>
        <v>52.299787185133333</v>
      </c>
      <c r="C22" s="26" t="s">
        <v>19</v>
      </c>
      <c r="D22" s="26"/>
      <c r="E22" s="26"/>
      <c r="F22" s="26"/>
      <c r="G22" s="26"/>
      <c r="H22" s="26"/>
      <c r="I22" s="26"/>
    </row>
    <row r="23" spans="1:9" x14ac:dyDescent="0.25">
      <c r="A23" s="26" t="s">
        <v>7</v>
      </c>
      <c r="B23" s="28">
        <f>F18</f>
        <v>0</v>
      </c>
      <c r="C23" s="26" t="s">
        <v>14</v>
      </c>
      <c r="D23" s="26"/>
      <c r="E23" s="26"/>
      <c r="F23" s="26"/>
      <c r="G23" s="26"/>
      <c r="H23" s="26"/>
      <c r="I23" s="26"/>
    </row>
    <row r="24" spans="1:9" x14ac:dyDescent="0.25">
      <c r="A24" s="26" t="s">
        <v>8</v>
      </c>
      <c r="B24" s="27">
        <f>G18</f>
        <v>24.124733981416668</v>
      </c>
      <c r="C24" s="26" t="s">
        <v>19</v>
      </c>
      <c r="D24" s="26"/>
      <c r="E24" s="26"/>
      <c r="F24" s="26"/>
      <c r="G24" s="26"/>
      <c r="H24" s="26"/>
      <c r="I24" s="26"/>
    </row>
    <row r="25" spans="1:9" ht="30" x14ac:dyDescent="0.25">
      <c r="A25" s="26" t="s">
        <v>9</v>
      </c>
      <c r="B25" s="26">
        <v>0</v>
      </c>
      <c r="C25" s="26" t="s">
        <v>19</v>
      </c>
      <c r="D25" s="26"/>
      <c r="E25" s="26"/>
      <c r="F25" s="26"/>
      <c r="G25" s="26"/>
      <c r="H25" s="26"/>
      <c r="I25" s="26"/>
    </row>
    <row r="26" spans="1:9" x14ac:dyDescent="0.25">
      <c r="A26" s="26" t="s">
        <v>10</v>
      </c>
      <c r="B26" s="26">
        <v>0</v>
      </c>
      <c r="C26" s="26" t="s">
        <v>14</v>
      </c>
      <c r="D26" s="26"/>
      <c r="E26" s="26"/>
      <c r="F26" s="26"/>
      <c r="G26" s="26"/>
      <c r="H26" s="26"/>
      <c r="I26" s="26"/>
    </row>
  </sheetData>
  <mergeCells count="5">
    <mergeCell ref="A1:E2"/>
    <mergeCell ref="A3:E3"/>
    <mergeCell ref="B4:B5"/>
    <mergeCell ref="E4:E5"/>
    <mergeCell ref="A17:I17"/>
  </mergeCells>
  <pageMargins left="0.7" right="0.7" top="0.75" bottom="0.75" header="0.3" footer="0.3"/>
  <ignoredErrors>
    <ignoredError sqref="C18:E18 F18:I18" formulaRange="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87A02339F692D4EB30B0F59069315AE" ma:contentTypeVersion="25" ma:contentTypeDescription="Create a new document." ma:contentTypeScope="" ma:versionID="798af4c1991cc2e8d422344973c34374">
  <xsd:schema xmlns:xsd="http://www.w3.org/2001/XMLSchema" xmlns:xs="http://www.w3.org/2001/XMLSchema" xmlns:p="http://schemas.microsoft.com/office/2006/metadata/properties" xmlns:ns1="http://schemas.microsoft.com/sharepoint/v3" xmlns:ns2="3513f133-3e70-488b-b800-b407614b76cc" xmlns:ns3="5f92036c-2d97-4d69-8000-1d9c3e43ac6a" targetNamespace="http://schemas.microsoft.com/office/2006/metadata/properties" ma:root="true" ma:fieldsID="a0f5003842d897726157ee4a6d2552a9" ns1:_="" ns2:_="" ns3:_="">
    <xsd:import namespace="http://schemas.microsoft.com/sharepoint/v3"/>
    <xsd:import namespace="3513f133-3e70-488b-b800-b407614b76cc"/>
    <xsd:import namespace="5f92036c-2d97-4d69-8000-1d9c3e43ac6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LengthInSeconds" minOccurs="0"/>
                <xsd:element ref="ns2:_dlc_DocId" minOccurs="0"/>
                <xsd:element ref="ns2:_dlc_DocIdUrl" minOccurs="0"/>
                <xsd:element ref="ns2:_dlc_DocIdPersistId" minOccurs="0"/>
                <xsd:element ref="ns1:_dlc_Exempt" minOccurs="0"/>
                <xsd:element ref="ns3:DLCPolicyLabelValue" minOccurs="0"/>
                <xsd:element ref="ns3:DLCPolicyLabelClientValue" minOccurs="0"/>
                <xsd:element ref="ns3:DLCPolicyLabelLock" minOccurs="0"/>
                <xsd:element ref="ns1:_ExtendedDescription"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25" nillable="true" ma:displayName="Exempt from Policy" ma:hidden="true" ma:internalName="_dlc_Exempt" ma:readOnly="true">
      <xsd:simpleType>
        <xsd:restriction base="dms:Unknown"/>
      </xsd:simpleType>
    </xsd:element>
    <xsd:element name="_ExtendedDescription" ma:index="29" nillable="true" ma:displayName="Description" ma:internalName="_ExtendedDescription">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513f133-3e70-488b-b800-b407614b76cc"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10382160-6a7a-467e-8f49-3401baa50608}" ma:internalName="TaxCatchAll" ma:showField="CatchAllData" ma:web="3513f133-3e70-488b-b800-b407614b76cc">
      <xsd:complexType>
        <xsd:complexContent>
          <xsd:extension base="dms:MultiChoiceLookup">
            <xsd:sequence>
              <xsd:element name="Value" type="dms:Lookup" maxOccurs="unbounded" minOccurs="0" nillable="true"/>
            </xsd:sequence>
          </xsd:extension>
        </xsd:complexContent>
      </xsd:complexType>
    </xsd:element>
    <xsd:element name="_dlc_DocId" ma:index="22" nillable="true" ma:displayName="Document ID Value" ma:description="The value of the document ID assigned to this item." ma:indexed="true" ma:internalName="_dlc_DocId" ma:readOnly="true">
      <xsd:simpleType>
        <xsd:restriction base="dms:Text"/>
      </xsd:simpleType>
    </xsd:element>
    <xsd:element name="_dlc_DocIdUrl" ma:index="2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4"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5f92036c-2d97-4d69-8000-1d9c3e43ac6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14e2073d-709b-444f-b71e-201219f884a4"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DLCPolicyLabelValue" ma:index="26" nillable="true" ma:displayName="Label" ma:description="Stores the current value of the label." ma:internalName="DLCPolicyLabelValue" ma:readOnly="true">
      <xsd:simpleType>
        <xsd:restriction base="dms:Note">
          <xsd:maxLength value="255"/>
        </xsd:restriction>
      </xsd:simpleType>
    </xsd:element>
    <xsd:element name="DLCPolicyLabelClientValue" ma:index="27" nillable="true" ma:displayName="Client Label Value" ma:description="Stores the last label value computed on the client." ma:hidden="true" ma:internalName="DLCPolicyLabelClientValue" ma:readOnly="false">
      <xsd:simpleType>
        <xsd:restriction base="dms:Note"/>
      </xsd:simpleType>
    </xsd:element>
    <xsd:element name="DLCPolicyLabelLock" ma:index="28" nillable="true" ma:displayName="Label Locked" ma:description="Indicates whether the label should be updated when item properties are modified." ma:hidden="true" ma:internalName="DLCPolicyLabelLock" ma:readOnly="false">
      <xsd:simpleType>
        <xsd:restriction base="dms:Text"/>
      </xsd:simpleType>
    </xsd:element>
    <xsd:element name="MediaServiceSearchProperties" ma:index="3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p:Policy xmlns:p="office.server.policy" id="" local="true">
  <p:Name>Document</p:Name>
  <p:Description/>
  <p:Statement/>
  <p:PolicyItems>
    <p:PolicyItem featureId="Microsoft.Office.RecordsManagement.PolicyFeatures.PolicyLabel" staticId="0x010100C87A02339F692D4EB30B0F59069315AE|-743233126" UniqueId="11ccf9d6-b8d5-4a49-9bd5-89d86255cfae">
      <p:Name>Labels</p:Name>
      <p:Description>Generates labels that can be inserted in Microsoft Office documents to ensure that document properties or other important information are included when documents are printed. Labels can also be used to search for documents.</p:Description>
      <p:CustomData>
        <label>
          <segment type="metadata">_UIVersionString</segment>
        </label>
      </p:CustomData>
    </p:PolicyItem>
  </p:PolicyItems>
</p:Policy>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p:properties xmlns:p="http://schemas.microsoft.com/office/2006/metadata/properties" xmlns:xsi="http://www.w3.org/2001/XMLSchema-instance" xmlns:pc="http://schemas.microsoft.com/office/infopath/2007/PartnerControls">
  <documentManagement>
    <_dlc_DocId xmlns="3513f133-3e70-488b-b800-b407614b76cc">TADOC-1061295646-60738</_dlc_DocId>
    <lcf76f155ced4ddcb4097134ff3c332f xmlns="5f92036c-2d97-4d69-8000-1d9c3e43ac6a">
      <Terms xmlns="http://schemas.microsoft.com/office/infopath/2007/PartnerControls"/>
    </lcf76f155ced4ddcb4097134ff3c332f>
    <TaxCatchAll xmlns="3513f133-3e70-488b-b800-b407614b76cc" xsi:nil="true"/>
    <DLCPolicyLabelLock xmlns="5f92036c-2d97-4d69-8000-1d9c3e43ac6a" xsi:nil="true"/>
    <_ExtendedDescription xmlns="http://schemas.microsoft.com/sharepoint/v3" xsi:nil="true"/>
    <DLCPolicyLabelValue xmlns="5f92036c-2d97-4d69-8000-1d9c3e43ac6a">0.2</DLCPolicyLabelValue>
    <DLCPolicyLabelClientValue xmlns="5f92036c-2d97-4d69-8000-1d9c3e43ac6a" xsi:nil="true"/>
    <_dlc_DocIdUrl xmlns="3513f133-3e70-488b-b800-b407614b76cc">
      <Url>https://tritonsys.sharepoint.com/sites/TritonAnchor/_layouts/15/DocIdRedir.aspx?ID=TADOC-1061295646-60738</Url>
      <Description>TADOC-1061295646-60738</Description>
    </_dlc_DocIdUrl>
  </documentManagement>
</p:properties>
</file>

<file path=customXml/itemProps1.xml><?xml version="1.0" encoding="utf-8"?>
<ds:datastoreItem xmlns:ds="http://schemas.openxmlformats.org/officeDocument/2006/customXml" ds:itemID="{7B19F487-F457-4715-9952-E843B0185890}"/>
</file>

<file path=customXml/itemProps2.xml><?xml version="1.0" encoding="utf-8"?>
<ds:datastoreItem xmlns:ds="http://schemas.openxmlformats.org/officeDocument/2006/customXml" ds:itemID="{AFF2540C-BA51-453D-8F23-AE7DD39DE637}"/>
</file>

<file path=customXml/itemProps3.xml><?xml version="1.0" encoding="utf-8"?>
<ds:datastoreItem xmlns:ds="http://schemas.openxmlformats.org/officeDocument/2006/customXml" ds:itemID="{55B0AF13-D40A-4313-B3E6-1E26F2A35EA0}"/>
</file>

<file path=customXml/itemProps4.xml><?xml version="1.0" encoding="utf-8"?>
<ds:datastoreItem xmlns:ds="http://schemas.openxmlformats.org/officeDocument/2006/customXml" ds:itemID="{7472CF58-040D-40F2-BA13-3A6FF50DBEDD}"/>
</file>

<file path=customXml/itemProps5.xml><?xml version="1.0" encoding="utf-8"?>
<ds:datastoreItem xmlns:ds="http://schemas.openxmlformats.org/officeDocument/2006/customXml" ds:itemID="{29F1C789-5DB3-4661-B5EA-2D5729E8248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Davis</dc:creator>
  <cp:lastModifiedBy>Michael Davis</cp:lastModifiedBy>
  <dcterms:created xsi:type="dcterms:W3CDTF">2024-07-12T16:06:43Z</dcterms:created>
  <dcterms:modified xsi:type="dcterms:W3CDTF">2024-07-12T16:29:25Z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0x010100C87A02339F692D4EB30B0F59069315AE</vt:lpwstr>
  </property>
  <property fmtid="{D5CDD505-2E9C-101B-9397-08002B2CF9AE}" pid="3" name="_dlc_DocIdItemGuid">
    <vt:lpwstr>3ee0fc89-cf10-4363-a034-51f32997c2fc</vt:lpwstr>
  </property>
</Properties>
</file>