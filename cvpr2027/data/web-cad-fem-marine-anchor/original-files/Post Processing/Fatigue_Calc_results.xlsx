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P:\2022\1600 JOBS\2022_1633\RSW\"/>
    </mc:Choice>
  </mc:AlternateContent>
  <xr:revisionPtr revIDLastSave="0" documentId="8_{E2F2D734-6392-48BE-A9BE-37E11C926B3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tatic Loads" sheetId="2" r:id="rId1"/>
    <sheet name="Cyclic Loads" sheetId="3" r:id="rId2"/>
    <sheet name="Load-Disp" sheetId="4" r:id="rId3"/>
    <sheet name="Stress" sheetId="5" r:id="rId4"/>
    <sheet name="SCF" sheetId="6" r:id="rId5"/>
    <sheet name="Damag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F9" i="7"/>
  <c r="G9" i="7"/>
  <c r="H9" i="7"/>
  <c r="I9" i="7"/>
  <c r="J9" i="7"/>
  <c r="E10" i="7"/>
  <c r="F10" i="7"/>
  <c r="G10" i="7"/>
  <c r="H10" i="7"/>
  <c r="I10" i="7"/>
  <c r="J10" i="7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E14" i="7"/>
  <c r="F14" i="7"/>
  <c r="G14" i="7"/>
  <c r="H14" i="7"/>
  <c r="I14" i="7"/>
  <c r="J14" i="7"/>
  <c r="E15" i="7"/>
  <c r="F15" i="7"/>
  <c r="G15" i="7"/>
  <c r="H15" i="7"/>
  <c r="I15" i="7"/>
  <c r="J15" i="7"/>
  <c r="E16" i="7"/>
  <c r="F16" i="7"/>
  <c r="G16" i="7"/>
  <c r="H16" i="7"/>
  <c r="I16" i="7"/>
  <c r="J16" i="7"/>
  <c r="E17" i="7"/>
  <c r="F17" i="7"/>
  <c r="G17" i="7"/>
  <c r="H17" i="7"/>
  <c r="I17" i="7"/>
  <c r="J17" i="7"/>
  <c r="E18" i="7"/>
  <c r="F18" i="7"/>
  <c r="G18" i="7"/>
  <c r="H18" i="7"/>
  <c r="I18" i="7"/>
  <c r="J18" i="7"/>
  <c r="E19" i="7"/>
  <c r="F19" i="7"/>
  <c r="G19" i="7"/>
  <c r="H19" i="7"/>
  <c r="I19" i="7"/>
  <c r="J19" i="7"/>
  <c r="E20" i="7"/>
  <c r="F20" i="7"/>
  <c r="G20" i="7"/>
  <c r="H20" i="7"/>
  <c r="I20" i="7"/>
  <c r="J20" i="7"/>
  <c r="E21" i="7"/>
  <c r="F21" i="7"/>
  <c r="G21" i="7"/>
  <c r="H21" i="7"/>
  <c r="I21" i="7"/>
  <c r="J21" i="7"/>
  <c r="E22" i="7"/>
  <c r="F22" i="7"/>
  <c r="G22" i="7"/>
  <c r="H22" i="7"/>
  <c r="I22" i="7"/>
  <c r="J22" i="7"/>
  <c r="E23" i="7"/>
  <c r="F23" i="7"/>
  <c r="G23" i="7"/>
  <c r="H23" i="7"/>
  <c r="I23" i="7"/>
  <c r="J23" i="7"/>
  <c r="E24" i="7"/>
  <c r="F24" i="7"/>
  <c r="G24" i="7"/>
  <c r="H24" i="7"/>
  <c r="I24" i="7"/>
  <c r="J24" i="7"/>
  <c r="E25" i="7"/>
  <c r="F25" i="7"/>
  <c r="G25" i="7"/>
  <c r="H25" i="7"/>
  <c r="I25" i="7"/>
  <c r="J25" i="7"/>
  <c r="E26" i="7"/>
  <c r="F26" i="7"/>
  <c r="G26" i="7"/>
  <c r="H26" i="7"/>
  <c r="I26" i="7"/>
  <c r="J26" i="7"/>
  <c r="E27" i="7"/>
  <c r="F27" i="7"/>
  <c r="G27" i="7"/>
  <c r="H27" i="7"/>
  <c r="I27" i="7"/>
  <c r="J27" i="7"/>
  <c r="E28" i="7"/>
  <c r="F28" i="7"/>
  <c r="G28" i="7"/>
  <c r="H28" i="7"/>
  <c r="I28" i="7"/>
  <c r="J28" i="7"/>
  <c r="E29" i="7"/>
  <c r="F29" i="7"/>
  <c r="G29" i="7"/>
  <c r="H29" i="7"/>
  <c r="I29" i="7"/>
  <c r="J29" i="7"/>
  <c r="E30" i="7"/>
  <c r="F30" i="7"/>
  <c r="G30" i="7"/>
  <c r="H30" i="7"/>
  <c r="I30" i="7"/>
  <c r="J30" i="7"/>
  <c r="E31" i="7"/>
  <c r="F31" i="7"/>
  <c r="G31" i="7"/>
  <c r="H31" i="7"/>
  <c r="I31" i="7"/>
  <c r="J31" i="7"/>
  <c r="E32" i="7"/>
  <c r="F32" i="7"/>
  <c r="G32" i="7"/>
  <c r="H32" i="7"/>
  <c r="I32" i="7"/>
  <c r="J32" i="7"/>
  <c r="E33" i="7"/>
  <c r="F33" i="7"/>
  <c r="G33" i="7"/>
  <c r="H33" i="7"/>
  <c r="I33" i="7"/>
  <c r="J33" i="7"/>
  <c r="E34" i="7"/>
  <c r="F34" i="7"/>
  <c r="G34" i="7"/>
  <c r="H34" i="7"/>
  <c r="I34" i="7"/>
  <c r="J34" i="7"/>
  <c r="E35" i="7"/>
  <c r="F35" i="7"/>
  <c r="G35" i="7"/>
  <c r="H35" i="7"/>
  <c r="I35" i="7"/>
  <c r="J35" i="7"/>
  <c r="E36" i="7"/>
  <c r="F36" i="7"/>
  <c r="G36" i="7"/>
  <c r="H36" i="7"/>
  <c r="I36" i="7"/>
  <c r="J36" i="7"/>
  <c r="E37" i="7"/>
  <c r="F37" i="7"/>
  <c r="G37" i="7"/>
  <c r="H37" i="7"/>
  <c r="I37" i="7"/>
  <c r="J37" i="7"/>
  <c r="E38" i="7"/>
  <c r="F38" i="7"/>
  <c r="G38" i="7"/>
  <c r="H38" i="7"/>
  <c r="I38" i="7"/>
  <c r="J38" i="7"/>
  <c r="E39" i="7"/>
  <c r="F39" i="7"/>
  <c r="G39" i="7"/>
  <c r="H39" i="7"/>
  <c r="I39" i="7"/>
  <c r="J39" i="7"/>
  <c r="F8" i="7"/>
  <c r="G8" i="7"/>
  <c r="H8" i="7"/>
  <c r="I8" i="7"/>
  <c r="J8" i="7"/>
  <c r="E8" i="7"/>
  <c r="C27" i="7"/>
  <c r="C28" i="7"/>
  <c r="C29" i="7"/>
  <c r="C30" i="7"/>
  <c r="C31" i="7"/>
  <c r="C32" i="7"/>
  <c r="C33" i="7"/>
  <c r="C34" i="7"/>
  <c r="C41" i="7" s="1"/>
  <c r="C35" i="7"/>
  <c r="C36" i="7"/>
  <c r="C37" i="7"/>
  <c r="C4" i="5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38" i="7"/>
  <c r="C39" i="7"/>
  <c r="D75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C29" i="3"/>
  <c r="C30" i="3"/>
  <c r="C31" i="3"/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2" i="3"/>
  <c r="C33" i="3"/>
  <c r="C34" i="3"/>
  <c r="C35" i="3"/>
  <c r="C36" i="3"/>
  <c r="C37" i="3"/>
  <c r="C6" i="3"/>
  <c r="G2" i="7"/>
  <c r="G6" i="5" l="1"/>
  <c r="H6" i="5"/>
  <c r="F7" i="5"/>
  <c r="G7" i="5"/>
  <c r="F11" i="5"/>
  <c r="G11" i="5"/>
  <c r="H13" i="5"/>
  <c r="F14" i="5"/>
  <c r="G14" i="5"/>
  <c r="H14" i="5"/>
  <c r="F15" i="5"/>
  <c r="G15" i="5"/>
  <c r="F16" i="5"/>
  <c r="G18" i="5"/>
  <c r="H18" i="5"/>
  <c r="F19" i="5"/>
  <c r="G19" i="5"/>
  <c r="F23" i="5"/>
  <c r="G23" i="5"/>
  <c r="H25" i="5"/>
  <c r="F26" i="5"/>
  <c r="G26" i="5"/>
  <c r="H26" i="5"/>
  <c r="F27" i="5"/>
  <c r="G27" i="5"/>
  <c r="F28" i="5"/>
  <c r="G30" i="5"/>
  <c r="H30" i="5"/>
  <c r="F31" i="5"/>
  <c r="G31" i="5"/>
  <c r="F35" i="5"/>
  <c r="G35" i="5"/>
  <c r="H37" i="5"/>
  <c r="G2" i="5"/>
  <c r="H2" i="5"/>
  <c r="F2" i="5"/>
  <c r="D6" i="5"/>
  <c r="E6" i="5"/>
  <c r="D11" i="5"/>
  <c r="E11" i="5"/>
  <c r="D12" i="5"/>
  <c r="E12" i="5"/>
  <c r="E13" i="5"/>
  <c r="D16" i="5"/>
  <c r="E16" i="5"/>
  <c r="D17" i="5"/>
  <c r="E17" i="5"/>
  <c r="D18" i="5"/>
  <c r="E18" i="5"/>
  <c r="D23" i="5"/>
  <c r="E23" i="5"/>
  <c r="D24" i="5"/>
  <c r="E24" i="5"/>
  <c r="E25" i="5"/>
  <c r="D28" i="5"/>
  <c r="E28" i="5"/>
  <c r="D29" i="5"/>
  <c r="E29" i="5"/>
  <c r="D30" i="5"/>
  <c r="E30" i="5"/>
  <c r="D35" i="5"/>
  <c r="E35" i="5"/>
  <c r="D36" i="5"/>
  <c r="E36" i="5"/>
  <c r="E37" i="5"/>
  <c r="C11" i="5"/>
  <c r="C12" i="5"/>
  <c r="C13" i="5"/>
  <c r="C14" i="5"/>
  <c r="C15" i="5"/>
  <c r="C16" i="5"/>
  <c r="C23" i="5"/>
  <c r="C24" i="5"/>
  <c r="C25" i="5"/>
  <c r="C26" i="5"/>
  <c r="C27" i="5"/>
  <c r="C28" i="5"/>
  <c r="C35" i="5"/>
  <c r="C36" i="5"/>
  <c r="C37" i="5"/>
  <c r="C6" i="5"/>
  <c r="C2" i="5" a="1"/>
  <c r="C2" i="5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6" i="5"/>
  <c r="F6" i="5" s="1"/>
  <c r="B7" i="5"/>
  <c r="H7" i="5" s="1"/>
  <c r="B8" i="5"/>
  <c r="F8" i="5" s="1"/>
  <c r="B9" i="5"/>
  <c r="F9" i="5" s="1"/>
  <c r="B10" i="5"/>
  <c r="H10" i="5" s="1"/>
  <c r="B11" i="5"/>
  <c r="H11" i="5" s="1"/>
  <c r="B12" i="5"/>
  <c r="F12" i="5" s="1"/>
  <c r="B13" i="5"/>
  <c r="D13" i="5" s="1"/>
  <c r="B14" i="5"/>
  <c r="D14" i="5" s="1"/>
  <c r="B15" i="5"/>
  <c r="H15" i="5" s="1"/>
  <c r="B16" i="5"/>
  <c r="G16" i="5" s="1"/>
  <c r="B17" i="5"/>
  <c r="C17" i="5" s="1"/>
  <c r="B18" i="5"/>
  <c r="C18" i="5" s="1"/>
  <c r="B19" i="5"/>
  <c r="H19" i="5" s="1"/>
  <c r="B20" i="5"/>
  <c r="F20" i="5" s="1"/>
  <c r="B21" i="5"/>
  <c r="H21" i="5" s="1"/>
  <c r="B22" i="5"/>
  <c r="D22" i="5" s="1"/>
  <c r="B23" i="5"/>
  <c r="H23" i="5" s="1"/>
  <c r="B24" i="5"/>
  <c r="F24" i="5" s="1"/>
  <c r="B25" i="5"/>
  <c r="D25" i="5" s="1"/>
  <c r="B26" i="5"/>
  <c r="D26" i="5" s="1"/>
  <c r="B27" i="5"/>
  <c r="H27" i="5" s="1"/>
  <c r="B28" i="5"/>
  <c r="G28" i="5" s="1"/>
  <c r="B29" i="5"/>
  <c r="C29" i="5" s="1"/>
  <c r="B30" i="5"/>
  <c r="C30" i="5" s="1"/>
  <c r="B31" i="5"/>
  <c r="H31" i="5" s="1"/>
  <c r="B32" i="5"/>
  <c r="F32" i="5" s="1"/>
  <c r="B33" i="5"/>
  <c r="H33" i="5" s="1"/>
  <c r="B34" i="5"/>
  <c r="H34" i="5" s="1"/>
  <c r="B35" i="5"/>
  <c r="H35" i="5" s="1"/>
  <c r="B36" i="5"/>
  <c r="F36" i="5" s="1"/>
  <c r="B37" i="5"/>
  <c r="D37" i="5" s="1"/>
  <c r="F5" i="2"/>
  <c r="E5" i="2"/>
  <c r="F4" i="2"/>
  <c r="E4" i="2"/>
  <c r="F3" i="2"/>
  <c r="E3" i="2"/>
  <c r="G22" i="5" l="1"/>
  <c r="E34" i="5"/>
  <c r="F30" i="5"/>
  <c r="D34" i="5"/>
  <c r="D10" i="5"/>
  <c r="C34" i="5"/>
  <c r="C22" i="5"/>
  <c r="C10" i="5"/>
  <c r="E33" i="5"/>
  <c r="E27" i="5"/>
  <c r="E21" i="5"/>
  <c r="E15" i="5"/>
  <c r="E9" i="5"/>
  <c r="G37" i="5"/>
  <c r="G33" i="5"/>
  <c r="G29" i="5"/>
  <c r="G25" i="5"/>
  <c r="G21" i="5"/>
  <c r="G17" i="5"/>
  <c r="G13" i="5"/>
  <c r="G9" i="5"/>
  <c r="F22" i="5"/>
  <c r="H9" i="5"/>
  <c r="C33" i="5"/>
  <c r="C21" i="5"/>
  <c r="C9" i="5"/>
  <c r="D33" i="5"/>
  <c r="D27" i="5"/>
  <c r="D21" i="5"/>
  <c r="D15" i="5"/>
  <c r="D9" i="5"/>
  <c r="F37" i="5"/>
  <c r="F33" i="5"/>
  <c r="F29" i="5"/>
  <c r="F25" i="5"/>
  <c r="F21" i="5"/>
  <c r="F17" i="5"/>
  <c r="F13" i="5"/>
  <c r="G34" i="5"/>
  <c r="E10" i="5"/>
  <c r="H29" i="5"/>
  <c r="H17" i="5"/>
  <c r="C32" i="5"/>
  <c r="C20" i="5"/>
  <c r="C8" i="5"/>
  <c r="E32" i="5"/>
  <c r="E26" i="5"/>
  <c r="E20" i="5"/>
  <c r="E14" i="5"/>
  <c r="E8" i="5"/>
  <c r="H36" i="5"/>
  <c r="H32" i="5"/>
  <c r="H28" i="5"/>
  <c r="H24" i="5"/>
  <c r="H20" i="5"/>
  <c r="H16" i="5"/>
  <c r="H12" i="5"/>
  <c r="H8" i="5"/>
  <c r="H22" i="5"/>
  <c r="G10" i="5"/>
  <c r="E22" i="5"/>
  <c r="F34" i="5"/>
  <c r="F10" i="5"/>
  <c r="C31" i="5"/>
  <c r="C19" i="5"/>
  <c r="C7" i="5"/>
  <c r="D32" i="5"/>
  <c r="D20" i="5"/>
  <c r="D8" i="5"/>
  <c r="G36" i="5"/>
  <c r="G32" i="5"/>
  <c r="G24" i="5"/>
  <c r="G20" i="5"/>
  <c r="G12" i="5"/>
  <c r="G8" i="5"/>
  <c r="F18" i="5"/>
  <c r="E31" i="5"/>
  <c r="E19" i="5"/>
  <c r="E7" i="5"/>
  <c r="D31" i="5"/>
  <c r="D19" i="5"/>
  <c r="D7" i="5"/>
  <c r="F41" i="7" l="1"/>
  <c r="D1" i="5" s="1"/>
  <c r="I41" i="7"/>
  <c r="G1" i="5" s="1"/>
  <c r="J41" i="7"/>
  <c r="H1" i="5" s="1"/>
  <c r="G41" i="7"/>
  <c r="E1" i="5" s="1"/>
  <c r="H41" i="7"/>
  <c r="F1" i="5" s="1"/>
  <c r="E41" i="7"/>
  <c r="C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<sst xmlns="http://schemas.openxmlformats.org/spreadsheetml/2006/main" count="64" uniqueCount="43">
  <si>
    <t xml:space="preserve">SES Case No. </t>
  </si>
  <si>
    <t>Description</t>
  </si>
  <si>
    <t>Angle from Horizontal</t>
  </si>
  <si>
    <t>Load</t>
  </si>
  <si>
    <t>Horizontal Load</t>
  </si>
  <si>
    <t>Vertical Load</t>
  </si>
  <si>
    <t>[-]</t>
  </si>
  <si>
    <t>[deg]</t>
  </si>
  <si>
    <t>[kN]</t>
  </si>
  <si>
    <t>Horizontal Driver</t>
  </si>
  <si>
    <t>Vertical Driver</t>
  </si>
  <si>
    <t>Max Peak of Both, Unfactored Design Case</t>
  </si>
  <si>
    <t>Mooring Line Load Cycles over 20 years</t>
  </si>
  <si>
    <t>Cycle Mean (kN)</t>
  </si>
  <si>
    <t>Cycle Range (kN)</t>
  </si>
  <si>
    <t>Zones</t>
  </si>
  <si>
    <t>Structural Element</t>
  </si>
  <si>
    <t>Displacement (m)</t>
  </si>
  <si>
    <t>Load (kN)</t>
  </si>
  <si>
    <t>Cyclic Load Range (kN)</t>
  </si>
  <si>
    <t>Hotspot 2</t>
  </si>
  <si>
    <t>SCF</t>
  </si>
  <si>
    <t>m</t>
  </si>
  <si>
    <t>abar</t>
  </si>
  <si>
    <t>No. of cycles</t>
  </si>
  <si>
    <t xml:space="preserve">Hotspot 1 </t>
  </si>
  <si>
    <t>Static case 1</t>
  </si>
  <si>
    <t>Static case 2</t>
  </si>
  <si>
    <t>Static case 3</t>
  </si>
  <si>
    <t>log abar</t>
  </si>
  <si>
    <t>Cyclic Stress (MPa)</t>
  </si>
  <si>
    <t>Load applied (kN)</t>
  </si>
  <si>
    <t>Total Cycles</t>
  </si>
  <si>
    <t>min load</t>
  </si>
  <si>
    <t>max load</t>
  </si>
  <si>
    <t xml:space="preserve">Case 1 Hotspot 1 </t>
  </si>
  <si>
    <t xml:space="preserve">Case 2 Hotspot 1 </t>
  </si>
  <si>
    <t xml:space="preserve">Case 3 Hotspot 1 </t>
  </si>
  <si>
    <t>Case 1 Hotspot 2</t>
  </si>
  <si>
    <t>Case 2 Hotspot 2</t>
  </si>
  <si>
    <t>Case 3 Hotspot 2</t>
  </si>
  <si>
    <t>t/t_ref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</si>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</sst>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top" textRotation="180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Mooring</a:t>
            </a:r>
            <a:r>
              <a:rPr lang="en-US" baseline="0"/>
              <a:t> Line Load Cycles over 20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v>120</c:v>
          </c:tx>
          <c:spPr>
            <a:solidFill>
              <a:schemeClr val="accent1"/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302-4FCB-AAD8-8877561F297A}"/>
            </c:ext>
          </c:extLst>
        </c:ser>
        <c:ser>
          <c:idx val="1"/>
          <c:order val="1"/>
          <c:tx>
            <c:v>150</c:v>
          </c:tx>
          <c:spPr>
            <a:solidFill>
              <a:schemeClr val="accent2"/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167840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302-4FCB-AAD8-8877561F297A}"/>
            </c:ext>
          </c:extLst>
        </c:ser>
        <c:ser>
          <c:idx val="2"/>
          <c:order val="2"/>
          <c:tx>
            <c:v>180</c:v>
          </c:tx>
          <c:spPr>
            <a:solidFill>
              <a:schemeClr val="accent3"/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49731400</c:v>
              </c:pt>
              <c:pt idx="1">
                <c:v>162200</c:v>
              </c:pt>
              <c:pt idx="2">
                <c:v>23320</c:v>
              </c:pt>
              <c:pt idx="3">
                <c:v>7400</c:v>
              </c:pt>
              <c:pt idx="4">
                <c:v>40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302-4FCB-AAD8-8877561F297A}"/>
            </c:ext>
          </c:extLst>
        </c:ser>
        <c:ser>
          <c:idx val="3"/>
          <c:order val="3"/>
          <c:tx>
            <c:v>210</c:v>
          </c:tx>
          <c:spPr>
            <a:solidFill>
              <a:schemeClr val="accent4"/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13391520</c:v>
              </c:pt>
              <c:pt idx="1">
                <c:v>373680</c:v>
              </c:pt>
              <c:pt idx="2">
                <c:v>109760</c:v>
              </c:pt>
              <c:pt idx="3">
                <c:v>51440</c:v>
              </c:pt>
              <c:pt idx="4">
                <c:v>13360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A302-4FCB-AAD8-8877561F297A}"/>
            </c:ext>
          </c:extLst>
        </c:ser>
        <c:ser>
          <c:idx val="4"/>
          <c:order val="4"/>
          <c:tx>
            <c:v>240</c:v>
          </c:tx>
          <c:spPr>
            <a:solidFill>
              <a:schemeClr val="accent5"/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365920</c:v>
              </c:pt>
              <c:pt idx="1">
                <c:v>75280</c:v>
              </c:pt>
              <c:pt idx="2">
                <c:v>45480</c:v>
              </c:pt>
              <c:pt idx="3">
                <c:v>34160</c:v>
              </c:pt>
              <c:pt idx="4">
                <c:v>30360</c:v>
              </c:pt>
              <c:pt idx="5">
                <c:v>22240</c:v>
              </c:pt>
              <c:pt idx="6">
                <c:v>23440</c:v>
              </c:pt>
              <c:pt idx="7">
                <c:v>23360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A302-4FCB-AAD8-8877561F297A}"/>
            </c:ext>
          </c:extLst>
        </c:ser>
        <c:ser>
          <c:idx val="5"/>
          <c:order val="5"/>
          <c:tx>
            <c:v>270</c:v>
          </c:tx>
          <c:spPr>
            <a:solidFill>
              <a:schemeClr val="accent6"/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282000</c:v>
              </c:pt>
              <c:pt idx="1">
                <c:v>130960</c:v>
              </c:pt>
              <c:pt idx="2">
                <c:v>71760</c:v>
              </c:pt>
              <c:pt idx="3">
                <c:v>20200</c:v>
              </c:pt>
              <c:pt idx="4">
                <c:v>32400</c:v>
              </c:pt>
              <c:pt idx="5">
                <c:v>14800</c:v>
              </c:pt>
              <c:pt idx="6">
                <c:v>27480</c:v>
              </c:pt>
              <c:pt idx="7">
                <c:v>54520</c:v>
              </c:pt>
              <c:pt idx="8">
                <c:v>13160</c:v>
              </c:pt>
              <c:pt idx="9">
                <c:v>11000</c:v>
              </c:pt>
              <c:pt idx="10">
                <c:v>3520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A302-4FCB-AAD8-8877561F297A}"/>
            </c:ext>
          </c:extLst>
        </c:ser>
        <c:ser>
          <c:idx val="6"/>
          <c:order val="6"/>
          <c:tx>
            <c:v>300</c:v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435800</c:v>
              </c:pt>
              <c:pt idx="1">
                <c:v>89000</c:v>
              </c:pt>
              <c:pt idx="2">
                <c:v>91440</c:v>
              </c:pt>
              <c:pt idx="3">
                <c:v>144120</c:v>
              </c:pt>
              <c:pt idx="4">
                <c:v>77600</c:v>
              </c:pt>
              <c:pt idx="5">
                <c:v>95440</c:v>
              </c:pt>
              <c:pt idx="6">
                <c:v>81200</c:v>
              </c:pt>
              <c:pt idx="7">
                <c:v>30560</c:v>
              </c:pt>
              <c:pt idx="8">
                <c:v>60680</c:v>
              </c:pt>
              <c:pt idx="9">
                <c:v>54080</c:v>
              </c:pt>
              <c:pt idx="10">
                <c:v>49760</c:v>
              </c:pt>
              <c:pt idx="11">
                <c:v>70440</c:v>
              </c:pt>
              <c:pt idx="12">
                <c:v>11640</c:v>
              </c:pt>
              <c:pt idx="13">
                <c:v>11800</c:v>
              </c:pt>
              <c:pt idx="14">
                <c:v>1640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A302-4FCB-AAD8-8877561F297A}"/>
            </c:ext>
          </c:extLst>
        </c:ser>
        <c:ser>
          <c:idx val="7"/>
          <c:order val="7"/>
          <c:tx>
            <c:v>330</c:v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530880</c:v>
              </c:pt>
              <c:pt idx="1">
                <c:v>242520</c:v>
              </c:pt>
              <c:pt idx="2">
                <c:v>218520</c:v>
              </c:pt>
              <c:pt idx="3">
                <c:v>151000</c:v>
              </c:pt>
              <c:pt idx="4">
                <c:v>149880</c:v>
              </c:pt>
              <c:pt idx="5">
                <c:v>147600</c:v>
              </c:pt>
              <c:pt idx="6">
                <c:v>134320</c:v>
              </c:pt>
              <c:pt idx="7">
                <c:v>84360</c:v>
              </c:pt>
              <c:pt idx="8">
                <c:v>55680</c:v>
              </c:pt>
              <c:pt idx="9">
                <c:v>78880</c:v>
              </c:pt>
              <c:pt idx="10">
                <c:v>64120</c:v>
              </c:pt>
              <c:pt idx="11">
                <c:v>106600</c:v>
              </c:pt>
              <c:pt idx="12">
                <c:v>79600</c:v>
              </c:pt>
              <c:pt idx="13">
                <c:v>133960</c:v>
              </c:pt>
              <c:pt idx="14">
                <c:v>68120</c:v>
              </c:pt>
              <c:pt idx="15">
                <c:v>59040</c:v>
              </c:pt>
              <c:pt idx="16">
                <c:v>37880</c:v>
              </c:pt>
              <c:pt idx="17">
                <c:v>800</c:v>
              </c:pt>
              <c:pt idx="18">
                <c:v>5640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A302-4FCB-AAD8-8877561F297A}"/>
            </c:ext>
          </c:extLst>
        </c:ser>
        <c:ser>
          <c:idx val="8"/>
          <c:order val="8"/>
          <c:tx>
            <c:v>360</c:v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766440</c:v>
              </c:pt>
              <c:pt idx="1">
                <c:v>380840</c:v>
              </c:pt>
              <c:pt idx="2">
                <c:v>368360</c:v>
              </c:pt>
              <c:pt idx="3">
                <c:v>267360</c:v>
              </c:pt>
              <c:pt idx="4">
                <c:v>244480</c:v>
              </c:pt>
              <c:pt idx="5">
                <c:v>299200</c:v>
              </c:pt>
              <c:pt idx="6">
                <c:v>211720</c:v>
              </c:pt>
              <c:pt idx="7">
                <c:v>275200</c:v>
              </c:pt>
              <c:pt idx="8">
                <c:v>203480</c:v>
              </c:pt>
              <c:pt idx="9">
                <c:v>218440</c:v>
              </c:pt>
              <c:pt idx="10">
                <c:v>278160</c:v>
              </c:pt>
              <c:pt idx="11">
                <c:v>260640</c:v>
              </c:pt>
              <c:pt idx="12">
                <c:v>227120</c:v>
              </c:pt>
              <c:pt idx="13">
                <c:v>341440</c:v>
              </c:pt>
              <c:pt idx="14">
                <c:v>314840</c:v>
              </c:pt>
              <c:pt idx="15">
                <c:v>310120</c:v>
              </c:pt>
              <c:pt idx="16">
                <c:v>443360</c:v>
              </c:pt>
              <c:pt idx="17">
                <c:v>574920</c:v>
              </c:pt>
              <c:pt idx="18">
                <c:v>705160</c:v>
              </c:pt>
              <c:pt idx="19">
                <c:v>310320</c:v>
              </c:pt>
              <c:pt idx="20">
                <c:v>4880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A302-4FCB-AAD8-8877561F297A}"/>
            </c:ext>
          </c:extLst>
        </c:ser>
        <c:ser>
          <c:idx val="9"/>
          <c:order val="9"/>
          <c:tx>
            <c:v>390</c:v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909280</c:v>
              </c:pt>
              <c:pt idx="1">
                <c:v>576440</c:v>
              </c:pt>
              <c:pt idx="2">
                <c:v>340560</c:v>
              </c:pt>
              <c:pt idx="3">
                <c:v>542760</c:v>
              </c:pt>
              <c:pt idx="4">
                <c:v>506040</c:v>
              </c:pt>
              <c:pt idx="5">
                <c:v>604200</c:v>
              </c:pt>
              <c:pt idx="6">
                <c:v>716440</c:v>
              </c:pt>
              <c:pt idx="7">
                <c:v>471880</c:v>
              </c:pt>
              <c:pt idx="8">
                <c:v>591640</c:v>
              </c:pt>
              <c:pt idx="9">
                <c:v>721240</c:v>
              </c:pt>
              <c:pt idx="10">
                <c:v>778320</c:v>
              </c:pt>
              <c:pt idx="11">
                <c:v>982200</c:v>
              </c:pt>
              <c:pt idx="12">
                <c:v>853680</c:v>
              </c:pt>
              <c:pt idx="13">
                <c:v>812800</c:v>
              </c:pt>
              <c:pt idx="14">
                <c:v>738720</c:v>
              </c:pt>
              <c:pt idx="15">
                <c:v>991960</c:v>
              </c:pt>
              <c:pt idx="16">
                <c:v>704920</c:v>
              </c:pt>
              <c:pt idx="17">
                <c:v>741600</c:v>
              </c:pt>
              <c:pt idx="18">
                <c:v>1005240</c:v>
              </c:pt>
              <c:pt idx="19">
                <c:v>1392960</c:v>
              </c:pt>
              <c:pt idx="20">
                <c:v>2136600</c:v>
              </c:pt>
              <c:pt idx="21">
                <c:v>1676800</c:v>
              </c:pt>
              <c:pt idx="22">
                <c:v>651000</c:v>
              </c:pt>
              <c:pt idx="23">
                <c:v>30440</c:v>
              </c:pt>
              <c:pt idx="24">
                <c:v>7440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A302-4FCB-AAD8-8877561F297A}"/>
            </c:ext>
          </c:extLst>
        </c:ser>
        <c:ser>
          <c:idx val="10"/>
          <c:order val="10"/>
          <c:tx>
            <c:v>420</c:v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955720</c:v>
              </c:pt>
              <c:pt idx="1">
                <c:v>389640</c:v>
              </c:pt>
              <c:pt idx="2">
                <c:v>588720</c:v>
              </c:pt>
              <c:pt idx="3">
                <c:v>572680</c:v>
              </c:pt>
              <c:pt idx="4">
                <c:v>366040</c:v>
              </c:pt>
              <c:pt idx="5">
                <c:v>410840</c:v>
              </c:pt>
              <c:pt idx="6">
                <c:v>428440</c:v>
              </c:pt>
              <c:pt idx="7">
                <c:v>371080</c:v>
              </c:pt>
              <c:pt idx="8">
                <c:v>482680</c:v>
              </c:pt>
              <c:pt idx="9">
                <c:v>613280</c:v>
              </c:pt>
              <c:pt idx="10">
                <c:v>567800</c:v>
              </c:pt>
              <c:pt idx="11">
                <c:v>666640</c:v>
              </c:pt>
              <c:pt idx="12">
                <c:v>675360</c:v>
              </c:pt>
              <c:pt idx="13">
                <c:v>718640</c:v>
              </c:pt>
              <c:pt idx="14">
                <c:v>695360</c:v>
              </c:pt>
              <c:pt idx="15">
                <c:v>809800</c:v>
              </c:pt>
              <c:pt idx="16">
                <c:v>612880</c:v>
              </c:pt>
              <c:pt idx="17">
                <c:v>569800</c:v>
              </c:pt>
              <c:pt idx="18">
                <c:v>625120</c:v>
              </c:pt>
              <c:pt idx="19">
                <c:v>762080</c:v>
              </c:pt>
              <c:pt idx="20">
                <c:v>811080</c:v>
              </c:pt>
              <c:pt idx="21">
                <c:v>902320</c:v>
              </c:pt>
              <c:pt idx="22">
                <c:v>2113240</c:v>
              </c:pt>
              <c:pt idx="23">
                <c:v>5024960</c:v>
              </c:pt>
              <c:pt idx="24">
                <c:v>12433360</c:v>
              </c:pt>
              <c:pt idx="25">
                <c:v>12468040</c:v>
              </c:pt>
              <c:pt idx="26">
                <c:v>2401280</c:v>
              </c:pt>
              <c:pt idx="27">
                <c:v>285160</c:v>
              </c:pt>
              <c:pt idx="28">
                <c:v>17600</c:v>
              </c:pt>
              <c:pt idx="29">
                <c:v>2320</c:v>
              </c:pt>
              <c:pt idx="30">
                <c:v>40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A302-4FCB-AAD8-8877561F297A}"/>
            </c:ext>
          </c:extLst>
        </c:ser>
        <c:ser>
          <c:idx val="11"/>
          <c:order val="11"/>
          <c:tx>
            <c:v>450</c:v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778560</c:v>
              </c:pt>
              <c:pt idx="1">
                <c:v>290640</c:v>
              </c:pt>
              <c:pt idx="2">
                <c:v>187720</c:v>
              </c:pt>
              <c:pt idx="3">
                <c:v>274080</c:v>
              </c:pt>
              <c:pt idx="4">
                <c:v>194800</c:v>
              </c:pt>
              <c:pt idx="5">
                <c:v>170680</c:v>
              </c:pt>
              <c:pt idx="6">
                <c:v>133160</c:v>
              </c:pt>
              <c:pt idx="7">
                <c:v>155240</c:v>
              </c:pt>
              <c:pt idx="8">
                <c:v>114720</c:v>
              </c:pt>
              <c:pt idx="9">
                <c:v>159160</c:v>
              </c:pt>
              <c:pt idx="10">
                <c:v>165560</c:v>
              </c:pt>
              <c:pt idx="11">
                <c:v>79160</c:v>
              </c:pt>
              <c:pt idx="12">
                <c:v>85840</c:v>
              </c:pt>
              <c:pt idx="13">
                <c:v>134600</c:v>
              </c:pt>
              <c:pt idx="14">
                <c:v>216720</c:v>
              </c:pt>
              <c:pt idx="15">
                <c:v>202240</c:v>
              </c:pt>
              <c:pt idx="16">
                <c:v>253480</c:v>
              </c:pt>
              <c:pt idx="17">
                <c:v>143720</c:v>
              </c:pt>
              <c:pt idx="18">
                <c:v>223800</c:v>
              </c:pt>
              <c:pt idx="19">
                <c:v>157200</c:v>
              </c:pt>
              <c:pt idx="20">
                <c:v>311120</c:v>
              </c:pt>
              <c:pt idx="21">
                <c:v>339920</c:v>
              </c:pt>
              <c:pt idx="22">
                <c:v>531280</c:v>
              </c:pt>
              <c:pt idx="23">
                <c:v>423800</c:v>
              </c:pt>
              <c:pt idx="24">
                <c:v>472080</c:v>
              </c:pt>
              <c:pt idx="25">
                <c:v>454160</c:v>
              </c:pt>
              <c:pt idx="26">
                <c:v>332680</c:v>
              </c:pt>
              <c:pt idx="27">
                <c:v>215240</c:v>
              </c:pt>
              <c:pt idx="28">
                <c:v>73120</c:v>
              </c:pt>
              <c:pt idx="29">
                <c:v>16840</c:v>
              </c:pt>
              <c:pt idx="30">
                <c:v>160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B-A302-4FCB-AAD8-8877561F297A}"/>
            </c:ext>
          </c:extLst>
        </c:ser>
        <c:ser>
          <c:idx val="12"/>
          <c:order val="12"/>
          <c:tx>
            <c:v>480</c:v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379640</c:v>
              </c:pt>
              <c:pt idx="1">
                <c:v>213480</c:v>
              </c:pt>
              <c:pt idx="2">
                <c:v>173520</c:v>
              </c:pt>
              <c:pt idx="3">
                <c:v>88680</c:v>
              </c:pt>
              <c:pt idx="4">
                <c:v>88840</c:v>
              </c:pt>
              <c:pt idx="5">
                <c:v>44600</c:v>
              </c:pt>
              <c:pt idx="6">
                <c:v>97800</c:v>
              </c:pt>
              <c:pt idx="7">
                <c:v>72520</c:v>
              </c:pt>
              <c:pt idx="8">
                <c:v>55240</c:v>
              </c:pt>
              <c:pt idx="9">
                <c:v>26360</c:v>
              </c:pt>
              <c:pt idx="10">
                <c:v>19600</c:v>
              </c:pt>
              <c:pt idx="11">
                <c:v>13480</c:v>
              </c:pt>
              <c:pt idx="12">
                <c:v>57160</c:v>
              </c:pt>
              <c:pt idx="13">
                <c:v>43720</c:v>
              </c:pt>
              <c:pt idx="14">
                <c:v>13080</c:v>
              </c:pt>
              <c:pt idx="15">
                <c:v>65720</c:v>
              </c:pt>
              <c:pt idx="16">
                <c:v>36720</c:v>
              </c:pt>
              <c:pt idx="17">
                <c:v>25320</c:v>
              </c:pt>
              <c:pt idx="18">
                <c:v>20080</c:v>
              </c:pt>
              <c:pt idx="19">
                <c:v>29480</c:v>
              </c:pt>
              <c:pt idx="20">
                <c:v>46640</c:v>
              </c:pt>
              <c:pt idx="21">
                <c:v>15600</c:v>
              </c:pt>
              <c:pt idx="22">
                <c:v>600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A302-4FCB-AAD8-8877561F297A}"/>
            </c:ext>
          </c:extLst>
        </c:ser>
        <c:ser>
          <c:idx val="13"/>
          <c:order val="13"/>
          <c:tx>
            <c:v>510</c:v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371920</c:v>
              </c:pt>
              <c:pt idx="1">
                <c:v>155000</c:v>
              </c:pt>
              <c:pt idx="2">
                <c:v>65080</c:v>
              </c:pt>
              <c:pt idx="3">
                <c:v>105920</c:v>
              </c:pt>
              <c:pt idx="4">
                <c:v>34920</c:v>
              </c:pt>
              <c:pt idx="5">
                <c:v>33840</c:v>
              </c:pt>
              <c:pt idx="6">
                <c:v>41920</c:v>
              </c:pt>
              <c:pt idx="7">
                <c:v>15960</c:v>
              </c:pt>
              <c:pt idx="8">
                <c:v>29360</c:v>
              </c:pt>
              <c:pt idx="9">
                <c:v>6240</c:v>
              </c:pt>
              <c:pt idx="10">
                <c:v>960</c:v>
              </c:pt>
              <c:pt idx="11">
                <c:v>2120</c:v>
              </c:pt>
              <c:pt idx="12">
                <c:v>1600</c:v>
              </c:pt>
              <c:pt idx="13">
                <c:v>10880</c:v>
              </c:pt>
              <c:pt idx="14">
                <c:v>11400</c:v>
              </c:pt>
              <c:pt idx="15">
                <c:v>7720</c:v>
              </c:pt>
              <c:pt idx="16">
                <c:v>3200</c:v>
              </c:pt>
              <c:pt idx="17">
                <c:v>1920</c:v>
              </c:pt>
              <c:pt idx="18">
                <c:v>120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40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D-A302-4FCB-AAD8-8877561F297A}"/>
            </c:ext>
          </c:extLst>
        </c:ser>
        <c:ser>
          <c:idx val="14"/>
          <c:order val="14"/>
          <c:tx>
            <c:v>540</c:v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236320</c:v>
              </c:pt>
              <c:pt idx="1">
                <c:v>41160</c:v>
              </c:pt>
              <c:pt idx="2">
                <c:v>62160</c:v>
              </c:pt>
              <c:pt idx="3">
                <c:v>19520</c:v>
              </c:pt>
              <c:pt idx="4">
                <c:v>26640</c:v>
              </c:pt>
              <c:pt idx="5">
                <c:v>3640</c:v>
              </c:pt>
              <c:pt idx="6">
                <c:v>11640</c:v>
              </c:pt>
              <c:pt idx="7">
                <c:v>7640</c:v>
              </c:pt>
              <c:pt idx="8">
                <c:v>24760</c:v>
              </c:pt>
              <c:pt idx="9">
                <c:v>6560</c:v>
              </c:pt>
              <c:pt idx="10">
                <c:v>8840</c:v>
              </c:pt>
              <c:pt idx="11">
                <c:v>5520</c:v>
              </c:pt>
              <c:pt idx="12">
                <c:v>10600</c:v>
              </c:pt>
              <c:pt idx="13">
                <c:v>4000</c:v>
              </c:pt>
              <c:pt idx="14">
                <c:v>2320</c:v>
              </c:pt>
              <c:pt idx="15">
                <c:v>16960</c:v>
              </c:pt>
              <c:pt idx="16">
                <c:v>40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E-A302-4FCB-AAD8-8877561F297A}"/>
            </c:ext>
          </c:extLst>
        </c:ser>
        <c:ser>
          <c:idx val="15"/>
          <c:order val="15"/>
          <c:tx>
            <c:v>570</c:v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223720</c:v>
              </c:pt>
              <c:pt idx="1">
                <c:v>20720</c:v>
              </c:pt>
              <c:pt idx="2">
                <c:v>66920</c:v>
              </c:pt>
              <c:pt idx="3">
                <c:v>5240</c:v>
              </c:pt>
              <c:pt idx="4">
                <c:v>2480</c:v>
              </c:pt>
              <c:pt idx="5">
                <c:v>8120</c:v>
              </c:pt>
              <c:pt idx="6">
                <c:v>1680</c:v>
              </c:pt>
              <c:pt idx="7">
                <c:v>3120</c:v>
              </c:pt>
              <c:pt idx="8">
                <c:v>2520</c:v>
              </c:pt>
              <c:pt idx="9">
                <c:v>11000</c:v>
              </c:pt>
              <c:pt idx="10">
                <c:v>6880</c:v>
              </c:pt>
              <c:pt idx="11">
                <c:v>4520</c:v>
              </c:pt>
              <c:pt idx="12">
                <c:v>1120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F-A302-4FCB-AAD8-8877561F297A}"/>
            </c:ext>
          </c:extLst>
        </c:ser>
        <c:ser>
          <c:idx val="16"/>
          <c:order val="16"/>
          <c:tx>
            <c:v>600</c:v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139920</c:v>
              </c:pt>
              <c:pt idx="1">
                <c:v>49080</c:v>
              </c:pt>
              <c:pt idx="2">
                <c:v>13600</c:v>
              </c:pt>
              <c:pt idx="3">
                <c:v>5040</c:v>
              </c:pt>
              <c:pt idx="4">
                <c:v>1160</c:v>
              </c:pt>
              <c:pt idx="5">
                <c:v>13000</c:v>
              </c:pt>
              <c:pt idx="6">
                <c:v>680</c:v>
              </c:pt>
              <c:pt idx="7">
                <c:v>1320</c:v>
              </c:pt>
              <c:pt idx="8">
                <c:v>3520</c:v>
              </c:pt>
              <c:pt idx="9">
                <c:v>1320</c:v>
              </c:pt>
              <c:pt idx="10">
                <c:v>0</c:v>
              </c:pt>
              <c:pt idx="11">
                <c:v>40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0-A302-4FCB-AAD8-8877561F297A}"/>
            </c:ext>
          </c:extLst>
        </c:ser>
        <c:ser>
          <c:idx val="17"/>
          <c:order val="17"/>
          <c:tx>
            <c:v>630</c:v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2146640</c:v>
              </c:pt>
              <c:pt idx="1">
                <c:v>913120</c:v>
              </c:pt>
              <c:pt idx="2">
                <c:v>102040</c:v>
              </c:pt>
              <c:pt idx="3">
                <c:v>25480</c:v>
              </c:pt>
              <c:pt idx="4">
                <c:v>7200</c:v>
              </c:pt>
              <c:pt idx="5">
                <c:v>4560</c:v>
              </c:pt>
              <c:pt idx="6">
                <c:v>40</c:v>
              </c:pt>
              <c:pt idx="7">
                <c:v>360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1-A302-4FCB-AAD8-8877561F297A}"/>
            </c:ext>
          </c:extLst>
        </c:ser>
        <c:ser>
          <c:idx val="18"/>
          <c:order val="18"/>
          <c:tx>
            <c:v>660</c:v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31984880</c:v>
              </c:pt>
              <c:pt idx="1">
                <c:v>4227520</c:v>
              </c:pt>
              <c:pt idx="2">
                <c:v>153200</c:v>
              </c:pt>
              <c:pt idx="3">
                <c:v>37120</c:v>
              </c:pt>
              <c:pt idx="4">
                <c:v>3240</c:v>
              </c:pt>
              <c:pt idx="5">
                <c:v>880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2-A302-4FCB-AAD8-8877561F297A}"/>
            </c:ext>
          </c:extLst>
        </c:ser>
        <c:ser>
          <c:idx val="19"/>
          <c:order val="19"/>
          <c:tx>
            <c:v>690</c:v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9172040</c:v>
              </c:pt>
              <c:pt idx="1">
                <c:v>647680</c:v>
              </c:pt>
              <c:pt idx="2">
                <c:v>14160</c:v>
              </c:pt>
              <c:pt idx="3">
                <c:v>2280</c:v>
              </c:pt>
              <c:pt idx="4">
                <c:v>0</c:v>
              </c:pt>
              <c:pt idx="5">
                <c:v>80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3-A302-4FCB-AAD8-8877561F297A}"/>
            </c:ext>
          </c:extLst>
        </c:ser>
        <c:ser>
          <c:idx val="20"/>
          <c:order val="20"/>
          <c:tx>
            <c:v>720</c:v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204560</c:v>
              </c:pt>
              <c:pt idx="1">
                <c:v>13840</c:v>
              </c:pt>
              <c:pt idx="2">
                <c:v>1040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4-A302-4FCB-AAD8-8877561F297A}"/>
            </c:ext>
          </c:extLst>
        </c:ser>
        <c:ser>
          <c:idx val="21"/>
          <c:order val="21"/>
          <c:tx>
            <c:v>750</c:v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120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5-A302-4FCB-AAD8-8877561F297A}"/>
            </c:ext>
          </c:extLst>
        </c:ser>
        <c:ser>
          <c:idx val="22"/>
          <c:order val="22"/>
          <c:tx>
            <c:v>780</c:v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numLit>
              <c:formatCode>General</c:formatCode>
              <c:ptCount val="32"/>
              <c:pt idx="0">
                <c:v>20</c:v>
              </c:pt>
              <c:pt idx="1">
                <c:v>40</c:v>
              </c:pt>
              <c:pt idx="2">
                <c:v>60</c:v>
              </c:pt>
              <c:pt idx="3">
                <c:v>80</c:v>
              </c:pt>
              <c:pt idx="4">
                <c:v>100</c:v>
              </c:pt>
              <c:pt idx="5">
                <c:v>120</c:v>
              </c:pt>
              <c:pt idx="6">
                <c:v>140</c:v>
              </c:pt>
              <c:pt idx="7">
                <c:v>160</c:v>
              </c:pt>
              <c:pt idx="8">
                <c:v>180</c:v>
              </c:pt>
              <c:pt idx="9">
                <c:v>200</c:v>
              </c:pt>
              <c:pt idx="10">
                <c:v>220</c:v>
              </c:pt>
              <c:pt idx="11">
                <c:v>240</c:v>
              </c:pt>
              <c:pt idx="12">
                <c:v>260</c:v>
              </c:pt>
              <c:pt idx="13">
                <c:v>280</c:v>
              </c:pt>
              <c:pt idx="14">
                <c:v>300</c:v>
              </c:pt>
              <c:pt idx="15">
                <c:v>320</c:v>
              </c:pt>
              <c:pt idx="16">
                <c:v>340</c:v>
              </c:pt>
              <c:pt idx="17">
                <c:v>360</c:v>
              </c:pt>
              <c:pt idx="18">
                <c:v>380</c:v>
              </c:pt>
              <c:pt idx="19">
                <c:v>400</c:v>
              </c:pt>
              <c:pt idx="20">
                <c:v>420</c:v>
              </c:pt>
              <c:pt idx="21">
                <c:v>440</c:v>
              </c:pt>
              <c:pt idx="22">
                <c:v>460</c:v>
              </c:pt>
              <c:pt idx="23">
                <c:v>480</c:v>
              </c:pt>
              <c:pt idx="24">
                <c:v>500</c:v>
              </c:pt>
              <c:pt idx="25">
                <c:v>520</c:v>
              </c:pt>
              <c:pt idx="26">
                <c:v>540</c:v>
              </c:pt>
              <c:pt idx="27">
                <c:v>560</c:v>
              </c:pt>
              <c:pt idx="28">
                <c:v>580</c:v>
              </c:pt>
              <c:pt idx="29">
                <c:v>600</c:v>
              </c:pt>
              <c:pt idx="30">
                <c:v>620</c:v>
              </c:pt>
              <c:pt idx="31">
                <c:v>640</c:v>
              </c:pt>
            </c:numLit>
          </c:cat>
          <c:val>
            <c:numLit>
              <c:formatCode>General</c:formatCode>
              <c:ptCount val="3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6-A302-4FCB-AAD8-8877561F297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49878607"/>
        <c:axId val="476841152"/>
        <c:axId val="519380560"/>
      </c:surface3DChart>
      <c:catAx>
        <c:axId val="24987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</a:t>
                </a:r>
                <a:r>
                  <a:rPr lang="en-US" baseline="0"/>
                  <a:t> Range (kN)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41152"/>
        <c:crosses val="autoZero"/>
        <c:auto val="1"/>
        <c:lblAlgn val="ctr"/>
        <c:lblOffset val="100"/>
        <c:noMultiLvlLbl val="0"/>
      </c:catAx>
      <c:valAx>
        <c:axId val="4768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78607"/>
        <c:crosses val="autoZero"/>
        <c:crossBetween val="midCat"/>
      </c:valAx>
      <c:serAx>
        <c:axId val="519380560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 Mean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41152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03937007874015"/>
          <c:y val="5.0925925925925923E-2"/>
          <c:w val="0.73172375328084005"/>
          <c:h val="0.79315201756063491"/>
        </c:manualLayout>
      </c:layout>
      <c:scatterChart>
        <c:scatterStyle val="smoothMarker"/>
        <c:varyColors val="0"/>
        <c:ser>
          <c:idx val="0"/>
          <c:order val="0"/>
          <c:tx>
            <c:v>Zones/Interface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40"/>
              <c:pt idx="0">
                <c:v>0</c:v>
              </c:pt>
              <c:pt idx="1">
                <c:v>1.7223803628068699E-4</c:v>
              </c:pt>
              <c:pt idx="2">
                <c:v>4.09159304496551E-4</c:v>
              </c:pt>
              <c:pt idx="3">
                <c:v>6.8968105234067404E-4</c:v>
              </c:pt>
              <c:pt idx="4">
                <c:v>1.05541600739645E-3</c:v>
              </c:pt>
              <c:pt idx="5">
                <c:v>1.41994429816014E-3</c:v>
              </c:pt>
              <c:pt idx="6">
                <c:v>1.8166003957067801E-3</c:v>
              </c:pt>
              <c:pt idx="7">
                <c:v>2.2333256208924299E-3</c:v>
              </c:pt>
              <c:pt idx="8">
                <c:v>2.6743258658809802E-3</c:v>
              </c:pt>
              <c:pt idx="9">
                <c:v>3.1307692167024601E-3</c:v>
              </c:pt>
              <c:pt idx="10">
                <c:v>3.5987373076418199E-3</c:v>
              </c:pt>
              <c:pt idx="11">
                <c:v>4.0799112471276303E-3</c:v>
              </c:pt>
              <c:pt idx="12">
                <c:v>4.5772187154678899E-3</c:v>
              </c:pt>
              <c:pt idx="13">
                <c:v>5.0845908992861897E-3</c:v>
              </c:pt>
              <c:pt idx="14">
                <c:v>5.6039316153948396E-3</c:v>
              </c:pt>
              <c:pt idx="15">
                <c:v>6.1210072937517004E-3</c:v>
              </c:pt>
              <c:pt idx="16">
                <c:v>6.64228699217893E-3</c:v>
              </c:pt>
              <c:pt idx="17">
                <c:v>7.1914917635829897E-3</c:v>
              </c:pt>
              <c:pt idx="18">
                <c:v>7.7284043820053097E-3</c:v>
              </c:pt>
              <c:pt idx="19">
                <c:v>8.2672063820620392E-3</c:v>
              </c:pt>
              <c:pt idx="20">
                <c:v>8.8178679588264506E-3</c:v>
              </c:pt>
              <c:pt idx="21">
                <c:v>9.4733986818926301E-3</c:v>
              </c:pt>
              <c:pt idx="22">
                <c:v>9.9658786770814405E-3</c:v>
              </c:pt>
              <c:pt idx="23">
                <c:v>1.05594374297577E-2</c:v>
              </c:pt>
              <c:pt idx="24">
                <c:v>1.1127660926180101E-2</c:v>
              </c:pt>
              <c:pt idx="25">
                <c:v>1.17492988382304E-2</c:v>
              </c:pt>
              <c:pt idx="26">
                <c:v>1.23012426031063E-2</c:v>
              </c:pt>
              <c:pt idx="27">
                <c:v>1.28450043915061E-2</c:v>
              </c:pt>
              <c:pt idx="28">
                <c:v>1.3558501394210099E-2</c:v>
              </c:pt>
              <c:pt idx="29">
                <c:v>1.4146372001731499E-2</c:v>
              </c:pt>
              <c:pt idx="30">
                <c:v>1.46720519747031E-2</c:v>
              </c:pt>
              <c:pt idx="31">
                <c:v>1.5396416211291701E-2</c:v>
              </c:pt>
              <c:pt idx="32">
                <c:v>1.59352878385518E-2</c:v>
              </c:pt>
              <c:pt idx="33">
                <c:v>1.66799385611371E-2</c:v>
              </c:pt>
              <c:pt idx="34">
                <c:v>1.7202795438894001E-2</c:v>
              </c:pt>
              <c:pt idx="35">
                <c:v>1.7958877974144801E-2</c:v>
              </c:pt>
              <c:pt idx="36">
                <c:v>1.8382736495762102E-2</c:v>
              </c:pt>
              <c:pt idx="37">
                <c:v>1.9254918500177801E-2</c:v>
              </c:pt>
              <c:pt idx="38">
                <c:v>1.97907519627404E-2</c:v>
              </c:pt>
              <c:pt idx="39">
                <c:v>2.05000510357458E-2</c:v>
              </c:pt>
            </c:numLit>
          </c:xVal>
          <c:yVal>
            <c:numLit>
              <c:formatCode>General</c:formatCode>
              <c:ptCount val="40"/>
              <c:pt idx="0">
                <c:v>0</c:v>
              </c:pt>
              <c:pt idx="1">
                <c:v>9.9995999999999992</c:v>
              </c:pt>
              <c:pt idx="2">
                <c:v>19.999199999999998</c:v>
              </c:pt>
              <c:pt idx="3">
                <c:v>29.998799999999999</c:v>
              </c:pt>
              <c:pt idx="4">
                <c:v>39.998399999999997</c:v>
              </c:pt>
              <c:pt idx="5">
                <c:v>49.997999999999998</c:v>
              </c:pt>
              <c:pt idx="6">
                <c:v>59.997599999999998</c:v>
              </c:pt>
              <c:pt idx="7">
                <c:v>69.997200000000007</c:v>
              </c:pt>
              <c:pt idx="8">
                <c:v>79.996799999999993</c:v>
              </c:pt>
              <c:pt idx="9">
                <c:v>89.996399999999994</c:v>
              </c:pt>
              <c:pt idx="10">
                <c:v>99.995999999999995</c:v>
              </c:pt>
              <c:pt idx="11">
                <c:v>109.9956</c:v>
              </c:pt>
              <c:pt idx="12">
                <c:v>119.9952</c:v>
              </c:pt>
              <c:pt idx="13">
                <c:v>129.9948</c:v>
              </c:pt>
              <c:pt idx="14">
                <c:v>139.99440000000001</c:v>
              </c:pt>
              <c:pt idx="15">
                <c:v>149.994</c:v>
              </c:pt>
              <c:pt idx="16">
                <c:v>159.99359999999999</c:v>
              </c:pt>
              <c:pt idx="17">
                <c:v>169.9932</c:v>
              </c:pt>
              <c:pt idx="18">
                <c:v>179.99279999999999</c:v>
              </c:pt>
              <c:pt idx="19">
                <c:v>189.9924</c:v>
              </c:pt>
              <c:pt idx="20">
                <c:v>199.99199999999999</c:v>
              </c:pt>
              <c:pt idx="21">
                <c:v>209.99160000000001</c:v>
              </c:pt>
              <c:pt idx="22">
                <c:v>219.99119999999999</c:v>
              </c:pt>
              <c:pt idx="23">
                <c:v>229.99080000000001</c:v>
              </c:pt>
              <c:pt idx="24">
                <c:v>239.99039999999999</c:v>
              </c:pt>
              <c:pt idx="25">
                <c:v>249.99</c:v>
              </c:pt>
              <c:pt idx="26">
                <c:v>259.9896</c:v>
              </c:pt>
              <c:pt idx="27">
                <c:v>269.98919999999998</c:v>
              </c:pt>
              <c:pt idx="28">
                <c:v>279.98880000000003</c:v>
              </c:pt>
              <c:pt idx="29">
                <c:v>289.98840000000001</c:v>
              </c:pt>
              <c:pt idx="30">
                <c:v>299.988</c:v>
              </c:pt>
              <c:pt idx="31">
                <c:v>309.98759999999999</c:v>
              </c:pt>
              <c:pt idx="32">
                <c:v>319.98719999999997</c:v>
              </c:pt>
              <c:pt idx="33">
                <c:v>329.98680000000002</c:v>
              </c:pt>
              <c:pt idx="34">
                <c:v>339.9864</c:v>
              </c:pt>
              <c:pt idx="35">
                <c:v>349.98599999999999</c:v>
              </c:pt>
              <c:pt idx="36">
                <c:v>359.98559999999998</c:v>
              </c:pt>
              <c:pt idx="37">
                <c:v>369.98520000000002</c:v>
              </c:pt>
              <c:pt idx="38">
                <c:v>379.98480000000001</c:v>
              </c:pt>
              <c:pt idx="39">
                <c:v>389.98439999999999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6B6-4730-BF86-B4688AD6C7D3}"/>
            </c:ext>
          </c:extLst>
        </c:ser>
        <c:ser>
          <c:idx val="1"/>
          <c:order val="1"/>
          <c:tx>
            <c:v>Structural Element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413"/>
              <c:pt idx="0">
                <c:v>1.64845160103026E-4</c:v>
              </c:pt>
              <c:pt idx="1">
                <c:v>3.8333489819057599E-4</c:v>
              </c:pt>
              <c:pt idx="2">
                <c:v>6.3799984797144305E-4</c:v>
              </c:pt>
              <c:pt idx="3">
                <c:v>9.2662601429247405E-4</c:v>
              </c:pt>
              <c:pt idx="4">
                <c:v>1.24707243288102E-3</c:v>
              </c:pt>
              <c:pt idx="5">
                <c:v>1.5830561445549301E-3</c:v>
              </c:pt>
              <c:pt idx="6">
                <c:v>1.9475552853925201E-3</c:v>
              </c:pt>
              <c:pt idx="7">
                <c:v>2.33523607309968E-3</c:v>
              </c:pt>
              <c:pt idx="8">
                <c:v>2.7321743706412798E-3</c:v>
              </c:pt>
              <c:pt idx="9">
                <c:v>3.14690019170541E-3</c:v>
              </c:pt>
              <c:pt idx="10">
                <c:v>3.58676666314507E-3</c:v>
              </c:pt>
              <c:pt idx="11">
                <c:v>4.0335861493378403E-3</c:v>
              </c:pt>
              <c:pt idx="12">
                <c:v>4.48655098628962E-3</c:v>
              </c:pt>
              <c:pt idx="13">
                <c:v>4.9516148169742999E-3</c:v>
              </c:pt>
              <c:pt idx="14">
                <c:v>5.4266776793497999E-3</c:v>
              </c:pt>
              <c:pt idx="15">
                <c:v>5.9087410876771697E-3</c:v>
              </c:pt>
              <c:pt idx="16">
                <c:v>6.39832105726459E-3</c:v>
              </c:pt>
              <c:pt idx="17">
                <c:v>6.9026116121996004E-3</c:v>
              </c:pt>
              <c:pt idx="18">
                <c:v>7.40393561256859E-3</c:v>
              </c:pt>
              <c:pt idx="19">
                <c:v>7.9152969116188902E-3</c:v>
              </c:pt>
              <c:pt idx="20">
                <c:v>8.4492072849401498E-3</c:v>
              </c:pt>
              <c:pt idx="21">
                <c:v>8.9702942545966096E-3</c:v>
              </c:pt>
              <c:pt idx="22">
                <c:v>9.5030427271521108E-3</c:v>
              </c:pt>
              <c:pt idx="23">
                <c:v>1.0046753310981E-2</c:v>
              </c:pt>
              <c:pt idx="24">
                <c:v>1.0589766947408E-2</c:v>
              </c:pt>
              <c:pt idx="25">
                <c:v>1.1139132425156699E-2</c:v>
              </c:pt>
              <c:pt idx="26">
                <c:v>1.1695777500450101E-2</c:v>
              </c:pt>
              <c:pt idx="27">
                <c:v>1.22711508417773E-2</c:v>
              </c:pt>
              <c:pt idx="28">
                <c:v>1.28429679507642E-2</c:v>
              </c:pt>
              <c:pt idx="29">
                <c:v>1.3413317899796899E-2</c:v>
              </c:pt>
              <c:pt idx="30">
                <c:v>1.39914839362384E-2</c:v>
              </c:pt>
              <c:pt idx="31">
                <c:v>1.4573255058250601E-2</c:v>
              </c:pt>
              <c:pt idx="32">
                <c:v>1.5159611952904099E-2</c:v>
              </c:pt>
              <c:pt idx="33">
                <c:v>1.5754566708178899E-2</c:v>
              </c:pt>
              <c:pt idx="34">
                <c:v>1.6353418458388402E-2</c:v>
              </c:pt>
              <c:pt idx="35">
                <c:v>1.6961302133634198E-2</c:v>
              </c:pt>
              <c:pt idx="36">
                <c:v>1.7573450373038799E-2</c:v>
              </c:pt>
              <c:pt idx="37">
                <c:v>1.81889044985576E-2</c:v>
              </c:pt>
              <c:pt idx="38">
                <c:v>1.8808853297473602E-2</c:v>
              </c:pt>
              <c:pt idx="39">
                <c:v>1.9434403917261599E-2</c:v>
              </c:pt>
              <c:pt idx="40">
                <c:v>2.0063781865281301E-2</c:v>
              </c:pt>
            </c:numLit>
          </c:xVal>
          <c:yVal>
            <c:numLit>
              <c:formatCode>General</c:formatCode>
              <c:ptCount val="413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70</c:v>
              </c:pt>
              <c:pt idx="7">
                <c:v>80</c:v>
              </c:pt>
              <c:pt idx="8">
                <c:v>90</c:v>
              </c:pt>
              <c:pt idx="9">
                <c:v>100</c:v>
              </c:pt>
              <c:pt idx="10">
                <c:v>110</c:v>
              </c:pt>
              <c:pt idx="11">
                <c:v>120</c:v>
              </c:pt>
              <c:pt idx="12">
                <c:v>130</c:v>
              </c:pt>
              <c:pt idx="13">
                <c:v>140</c:v>
              </c:pt>
              <c:pt idx="14">
                <c:v>150</c:v>
              </c:pt>
              <c:pt idx="15">
                <c:v>160</c:v>
              </c:pt>
              <c:pt idx="16">
                <c:v>170</c:v>
              </c:pt>
              <c:pt idx="17">
                <c:v>180</c:v>
              </c:pt>
              <c:pt idx="18">
                <c:v>190</c:v>
              </c:pt>
              <c:pt idx="19">
                <c:v>200</c:v>
              </c:pt>
              <c:pt idx="20">
                <c:v>210</c:v>
              </c:pt>
              <c:pt idx="21">
                <c:v>220</c:v>
              </c:pt>
              <c:pt idx="22">
                <c:v>230</c:v>
              </c:pt>
              <c:pt idx="23">
                <c:v>240</c:v>
              </c:pt>
              <c:pt idx="24">
                <c:v>250</c:v>
              </c:pt>
              <c:pt idx="25">
                <c:v>260</c:v>
              </c:pt>
              <c:pt idx="26">
                <c:v>270</c:v>
              </c:pt>
              <c:pt idx="27">
                <c:v>280</c:v>
              </c:pt>
              <c:pt idx="28">
                <c:v>290</c:v>
              </c:pt>
              <c:pt idx="29">
                <c:v>300</c:v>
              </c:pt>
              <c:pt idx="30">
                <c:v>310</c:v>
              </c:pt>
              <c:pt idx="31">
                <c:v>320</c:v>
              </c:pt>
              <c:pt idx="32">
                <c:v>330</c:v>
              </c:pt>
              <c:pt idx="33">
                <c:v>340</c:v>
              </c:pt>
              <c:pt idx="34">
                <c:v>350</c:v>
              </c:pt>
              <c:pt idx="35">
                <c:v>360</c:v>
              </c:pt>
              <c:pt idx="36">
                <c:v>370</c:v>
              </c:pt>
              <c:pt idx="37">
                <c:v>380</c:v>
              </c:pt>
              <c:pt idx="38">
                <c:v>390</c:v>
              </c:pt>
              <c:pt idx="39">
                <c:v>400</c:v>
              </c:pt>
              <c:pt idx="40">
                <c:v>410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6B6-4730-BF86-B4688AD6C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537520"/>
        <c:axId val="997534160"/>
      </c:scatterChart>
      <c:valAx>
        <c:axId val="99753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4160"/>
        <c:crosses val="autoZero"/>
        <c:crossBetween val="midCat"/>
      </c:valAx>
      <c:valAx>
        <c:axId val="997534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24315538539336"/>
          <c:y val="0.67952035298649971"/>
          <c:w val="0.24746522510374278"/>
          <c:h val="0.1187970299911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Fatigue Damage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Damage!$E$7:$N$7</c:f>
              <c:strCache>
                <c:ptCount val="6"/>
                <c:pt idx="0">
                  <c:v>Case 1 Hotspot 1 </c:v>
                </c:pt>
                <c:pt idx="1">
                  <c:v>Case 2 Hotspot 1 </c:v>
                </c:pt>
                <c:pt idx="2">
                  <c:v>Case 3 Hotspot 1 </c:v>
                </c:pt>
                <c:pt idx="3">
                  <c:v>Case 1 Hotspot 2</c:v>
                </c:pt>
                <c:pt idx="4">
                  <c:v>Case 2 Hotspot 2</c:v>
                </c:pt>
                <c:pt idx="5">
                  <c:v>Case 3 Hotspot 2</c:v>
                </c:pt>
              </c:strCache>
            </c:strRef>
          </c:cat>
          <c:val>
            <c:numRef>
              <c:f>Damage!$E$41:$N$41</c:f>
              <c:numCache>
                <c:formatCode>General</c:formatCode>
                <c:ptCount val="10"/>
                <c:pt idx="0">
                  <c:v>936.51985915128523</c:v>
                </c:pt>
                <c:pt idx="1">
                  <c:v>1206.0621264555748</c:v>
                </c:pt>
                <c:pt idx="2">
                  <c:v>1135.4805945062988</c:v>
                </c:pt>
                <c:pt idx="3">
                  <c:v>589.06441347783573</c:v>
                </c:pt>
                <c:pt idx="4">
                  <c:v>411.19865766445264</c:v>
                </c:pt>
                <c:pt idx="5">
                  <c:v>533.46844252747633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9-42B3-BFFF-E0F0CB997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521743"/>
        <c:axId val="959526543"/>
      </c:barChart>
      <c:catAx>
        <c:axId val="9595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26543"/>
        <c:crosses val="autoZero"/>
        <c:auto val="1"/>
        <c:lblAlgn val="ctr"/>
        <c:lblOffset val="100"/>
        <c:noMultiLvlLbl val="0"/>
      </c:catAx>
      <c:valAx>
        <c:axId val="9595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2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v>Cycles</c:v>
          </c:tx>
          <c:spPr>
            <a:ln w="412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Damage!$B$8:$B$39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cat>
          <c:val>
            <c:numRef>
              <c:f>'Cyclic Loads'!$C$6:$C$37</c:f>
              <c:numCache>
                <c:formatCode>0E+00</c:formatCode>
                <c:ptCount val="32"/>
                <c:pt idx="0">
                  <c:v>113175120</c:v>
                </c:pt>
                <c:pt idx="1">
                  <c:v>8992800</c:v>
                </c:pt>
                <c:pt idx="2">
                  <c:v>2697360</c:v>
                </c:pt>
                <c:pt idx="3">
                  <c:v>2354480</c:v>
                </c:pt>
                <c:pt idx="4">
                  <c:v>1779480</c:v>
                </c:pt>
                <c:pt idx="5">
                  <c:v>1873720</c:v>
                </c:pt>
                <c:pt idx="6">
                  <c:v>1909960</c:v>
                </c:pt>
                <c:pt idx="7">
                  <c:v>1567120</c:v>
                </c:pt>
                <c:pt idx="8">
                  <c:v>1637440</c:v>
                </c:pt>
                <c:pt idx="9">
                  <c:v>1907560</c:v>
                </c:pt>
                <c:pt idx="10">
                  <c:v>1943520</c:v>
                </c:pt>
                <c:pt idx="11">
                  <c:v>2191360</c:v>
                </c:pt>
                <c:pt idx="12">
                  <c:v>2003720</c:v>
                </c:pt>
                <c:pt idx="13">
                  <c:v>2211840</c:v>
                </c:pt>
                <c:pt idx="14">
                  <c:v>2062200</c:v>
                </c:pt>
                <c:pt idx="15">
                  <c:v>2463560</c:v>
                </c:pt>
                <c:pt idx="16">
                  <c:v>2092480</c:v>
                </c:pt>
                <c:pt idx="17">
                  <c:v>2058080</c:v>
                </c:pt>
                <c:pt idx="18">
                  <c:v>2585160</c:v>
                </c:pt>
                <c:pt idx="19">
                  <c:v>2652040</c:v>
                </c:pt>
                <c:pt idx="20">
                  <c:v>3310320</c:v>
                </c:pt>
                <c:pt idx="21">
                  <c:v>2934640</c:v>
                </c:pt>
                <c:pt idx="22">
                  <c:v>3296160</c:v>
                </c:pt>
                <c:pt idx="23">
                  <c:v>5479200</c:v>
                </c:pt>
                <c:pt idx="24">
                  <c:v>12912880</c:v>
                </c:pt>
                <c:pt idx="25">
                  <c:v>12922200</c:v>
                </c:pt>
                <c:pt idx="26">
                  <c:v>2733960</c:v>
                </c:pt>
                <c:pt idx="27">
                  <c:v>500400</c:v>
                </c:pt>
                <c:pt idx="28">
                  <c:v>90720</c:v>
                </c:pt>
                <c:pt idx="29">
                  <c:v>19160</c:v>
                </c:pt>
                <c:pt idx="30">
                  <c:v>200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CF-47A7-A929-2176B4088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713808"/>
        <c:axId val="1635294944"/>
      </c:lineChart>
      <c:scatterChart>
        <c:scatterStyle val="lineMarker"/>
        <c:varyColors val="0"/>
        <c:ser>
          <c:idx val="0"/>
          <c:order val="0"/>
          <c:tx>
            <c:strRef>
              <c:f>Damage!$E$7</c:f>
              <c:strCache>
                <c:ptCount val="1"/>
                <c:pt idx="0">
                  <c:v>Case 1 Hotspot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Damage!$B$8:$B$39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xVal>
          <c:yVal>
            <c:numRef>
              <c:f>Damage!$E$8:$E$39</c:f>
              <c:numCache>
                <c:formatCode>0.0</c:formatCode>
                <c:ptCount val="32"/>
                <c:pt idx="0">
                  <c:v>0.13678124164489641</c:v>
                </c:pt>
                <c:pt idx="1">
                  <c:v>8.6948180827321364E-2</c:v>
                </c:pt>
                <c:pt idx="2">
                  <c:v>8.8019369884551474E-2</c:v>
                </c:pt>
                <c:pt idx="3">
                  <c:v>0.18211702944071845</c:v>
                </c:pt>
                <c:pt idx="4">
                  <c:v>0.26883060062390512</c:v>
                </c:pt>
                <c:pt idx="5">
                  <c:v>0.48914094889842452</c:v>
                </c:pt>
                <c:pt idx="6">
                  <c:v>0.79176075271831492</c:v>
                </c:pt>
                <c:pt idx="7">
                  <c:v>0.96972321422017149</c:v>
                </c:pt>
                <c:pt idx="8">
                  <c:v>1.4426749857792507</c:v>
                </c:pt>
                <c:pt idx="9">
                  <c:v>2.3054397937650841</c:v>
                </c:pt>
                <c:pt idx="10">
                  <c:v>3.1263863632908744</c:v>
                </c:pt>
                <c:pt idx="11">
                  <c:v>4.5764955693617049</c:v>
                </c:pt>
                <c:pt idx="12">
                  <c:v>5.3203801947869795</c:v>
                </c:pt>
                <c:pt idx="13">
                  <c:v>7.3352242069675926</c:v>
                </c:pt>
                <c:pt idx="14">
                  <c:v>8.4116295459227768</c:v>
                </c:pt>
                <c:pt idx="15">
                  <c:v>12.195473590404031</c:v>
                </c:pt>
                <c:pt idx="16">
                  <c:v>12.424635533822057</c:v>
                </c:pt>
                <c:pt idx="17">
                  <c:v>14.50625627678601</c:v>
                </c:pt>
                <c:pt idx="18">
                  <c:v>21.430080797875817</c:v>
                </c:pt>
                <c:pt idx="19">
                  <c:v>25.641630357762814</c:v>
                </c:pt>
                <c:pt idx="20">
                  <c:v>37.051299128431637</c:v>
                </c:pt>
                <c:pt idx="21">
                  <c:v>37.765779522383845</c:v>
                </c:pt>
                <c:pt idx="22">
                  <c:v>48.469369563900287</c:v>
                </c:pt>
                <c:pt idx="23">
                  <c:v>91.543277320555816</c:v>
                </c:pt>
                <c:pt idx="24">
                  <c:v>243.84773123218673</c:v>
                </c:pt>
                <c:pt idx="25">
                  <c:v>274.49350988392115</c:v>
                </c:pt>
                <c:pt idx="26">
                  <c:v>65.036779369789485</c:v>
                </c:pt>
                <c:pt idx="27">
                  <c:v>13.275991728756448</c:v>
                </c:pt>
                <c:pt idx="28">
                  <c:v>2.6740690247887331</c:v>
                </c:pt>
                <c:pt idx="29">
                  <c:v>0.62522285753032836</c:v>
                </c:pt>
                <c:pt idx="30">
                  <c:v>7.2009642575914358E-3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F-47A7-A929-2176B408892E}"/>
            </c:ext>
          </c:extLst>
        </c:ser>
        <c:ser>
          <c:idx val="1"/>
          <c:order val="1"/>
          <c:tx>
            <c:strRef>
              <c:f>Damage!$F$7</c:f>
              <c:strCache>
                <c:ptCount val="1"/>
                <c:pt idx="0">
                  <c:v>Case 2 Hotspot 1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Damage!$B$8:$B$39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xVal>
          <c:yVal>
            <c:numRef>
              <c:f>Damage!$F$8:$F$39</c:f>
              <c:numCache>
                <c:formatCode>0.0</c:formatCode>
                <c:ptCount val="32"/>
                <c:pt idx="0">
                  <c:v>0.17614861398345313</c:v>
                </c:pt>
                <c:pt idx="1">
                  <c:v>0.11197296761552519</c:v>
                </c:pt>
                <c:pt idx="2">
                  <c:v>0.11335245843953144</c:v>
                </c:pt>
                <c:pt idx="3">
                  <c:v>0.23453261524010474</c:v>
                </c:pt>
                <c:pt idx="4">
                  <c:v>0.34620344958688265</c:v>
                </c:pt>
                <c:pt idx="5">
                  <c:v>0.62992190416501714</c:v>
                </c:pt>
                <c:pt idx="6">
                  <c:v>1.0196395172366124</c:v>
                </c:pt>
                <c:pt idx="7">
                  <c:v>1.2488218273081884</c:v>
                </c:pt>
                <c:pt idx="8">
                  <c:v>1.8578951040184155</c:v>
                </c:pt>
                <c:pt idx="9">
                  <c:v>2.9689745421986369</c:v>
                </c:pt>
                <c:pt idx="10">
                  <c:v>4.02619992367209</c:v>
                </c:pt>
                <c:pt idx="11">
                  <c:v>5.8936689106635018</c:v>
                </c:pt>
                <c:pt idx="12">
                  <c:v>6.8516529452904615</c:v>
                </c:pt>
                <c:pt idx="13">
                  <c:v>9.4463945624186021</c:v>
                </c:pt>
                <c:pt idx="14">
                  <c:v>10.832602980043534</c:v>
                </c:pt>
                <c:pt idx="15">
                  <c:v>15.705485225807141</c:v>
                </c:pt>
                <c:pt idx="16">
                  <c:v>16.000602876629731</c:v>
                </c:pt>
                <c:pt idx="17">
                  <c:v>18.681340412733146</c:v>
                </c:pt>
                <c:pt idx="18">
                  <c:v>27.597929253335487</c:v>
                </c:pt>
                <c:pt idx="19">
                  <c:v>33.021616074534897</c:v>
                </c:pt>
                <c:pt idx="20">
                  <c:v>47.71513190897457</c:v>
                </c:pt>
                <c:pt idx="21">
                  <c:v>48.635248802194219</c:v>
                </c:pt>
                <c:pt idx="22">
                  <c:v>62.419467513668096</c:v>
                </c:pt>
                <c:pt idx="23">
                  <c:v>117.89059103135024</c:v>
                </c:pt>
                <c:pt idx="24">
                  <c:v>314.03019422116745</c:v>
                </c:pt>
                <c:pt idx="25">
                  <c:v>353.49621579714687</c:v>
                </c:pt>
                <c:pt idx="26">
                  <c:v>83.755187525478206</c:v>
                </c:pt>
                <c:pt idx="27">
                  <c:v>17.096990158544084</c:v>
                </c:pt>
                <c:pt idx="28">
                  <c:v>3.443699930985344</c:v>
                </c:pt>
                <c:pt idx="29">
                  <c:v>0.80516990824414358</c:v>
                </c:pt>
                <c:pt idx="30">
                  <c:v>9.2734929005262815E-3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F-47A7-A929-2176B408892E}"/>
            </c:ext>
          </c:extLst>
        </c:ser>
        <c:ser>
          <c:idx val="2"/>
          <c:order val="2"/>
          <c:tx>
            <c:strRef>
              <c:f>Damage!$G$7</c:f>
              <c:strCache>
                <c:ptCount val="1"/>
                <c:pt idx="0">
                  <c:v>Case 3 Hotspot 1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Damage!$B$8:$B$39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xVal>
          <c:yVal>
            <c:numRef>
              <c:f>Damage!$G$8:$G$39</c:f>
              <c:numCache>
                <c:formatCode>0.0</c:formatCode>
                <c:ptCount val="32"/>
                <c:pt idx="0">
                  <c:v>0.16583999160573865</c:v>
                </c:pt>
                <c:pt idx="1">
                  <c:v>0.1054200517931564</c:v>
                </c:pt>
                <c:pt idx="2">
                  <c:v>0.10671881163860657</c:v>
                </c:pt>
                <c:pt idx="3">
                  <c:v>0.22080722671110301</c:v>
                </c:pt>
                <c:pt idx="4">
                  <c:v>0.32594282676989833</c:v>
                </c:pt>
                <c:pt idx="5">
                  <c:v>0.59305742427704089</c:v>
                </c:pt>
                <c:pt idx="6">
                  <c:v>0.95996786551657931</c:v>
                </c:pt>
                <c:pt idx="7">
                  <c:v>1.1757378992338137</c:v>
                </c:pt>
                <c:pt idx="8">
                  <c:v>1.7491668057274647</c:v>
                </c:pt>
                <c:pt idx="9">
                  <c:v>2.7952233175228147</c:v>
                </c:pt>
                <c:pt idx="10">
                  <c:v>3.7905774359798685</c:v>
                </c:pt>
                <c:pt idx="11">
                  <c:v>5.5487578390100403</c:v>
                </c:pt>
                <c:pt idx="12">
                  <c:v>6.4506784426878516</c:v>
                </c:pt>
                <c:pt idx="13">
                  <c:v>8.8935698073852478</c:v>
                </c:pt>
                <c:pt idx="14">
                  <c:v>10.198654117411763</c:v>
                </c:pt>
                <c:pt idx="15">
                  <c:v>14.78636407696388</c:v>
                </c:pt>
                <c:pt idx="16">
                  <c:v>15.064210763510744</c:v>
                </c:pt>
                <c:pt idx="17">
                  <c:v>17.588065368045637</c:v>
                </c:pt>
                <c:pt idx="18">
                  <c:v>25.982834904047913</c:v>
                </c:pt>
                <c:pt idx="19">
                  <c:v>31.089115087350148</c:v>
                </c:pt>
                <c:pt idx="20">
                  <c:v>44.922732551244394</c:v>
                </c:pt>
                <c:pt idx="21">
                  <c:v>45.789002085798806</c:v>
                </c:pt>
                <c:pt idx="22">
                  <c:v>58.766536587530567</c:v>
                </c:pt>
                <c:pt idx="23">
                  <c:v>110.99136226454368</c:v>
                </c:pt>
                <c:pt idx="24">
                  <c:v>295.65242436979406</c:v>
                </c:pt>
                <c:pt idx="25">
                  <c:v>332.80880351386804</c:v>
                </c:pt>
                <c:pt idx="26">
                  <c:v>78.853641150234452</c:v>
                </c:pt>
                <c:pt idx="27">
                  <c:v>16.096434937845697</c:v>
                </c:pt>
                <c:pt idx="28">
                  <c:v>3.242166683757953</c:v>
                </c:pt>
                <c:pt idx="29">
                  <c:v>0.75804951174322333</c:v>
                </c:pt>
                <c:pt idx="30">
                  <c:v>8.7307867487599021E-3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CF-47A7-A929-2176B408892E}"/>
            </c:ext>
          </c:extLst>
        </c:ser>
        <c:ser>
          <c:idx val="3"/>
          <c:order val="3"/>
          <c:tx>
            <c:strRef>
              <c:f>Damage!$H$7</c:f>
              <c:strCache>
                <c:ptCount val="1"/>
                <c:pt idx="0">
                  <c:v>Case 1 Hotspot 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Damage!$B$8:$B$39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xVal>
          <c:yVal>
            <c:numRef>
              <c:f>Damage!$H$8:$H$39</c:f>
              <c:numCache>
                <c:formatCode>0.0</c:formatCode>
                <c:ptCount val="32"/>
                <c:pt idx="0">
                  <c:v>8.6034440270534918E-2</c:v>
                </c:pt>
                <c:pt idx="1">
                  <c:v>5.4689795033740017E-2</c:v>
                </c:pt>
                <c:pt idx="2">
                  <c:v>5.5363565426919885E-2</c:v>
                </c:pt>
                <c:pt idx="3">
                  <c:v>0.11455033236459407</c:v>
                </c:pt>
                <c:pt idx="4">
                  <c:v>0.16909255958002456</c:v>
                </c:pt>
                <c:pt idx="5">
                  <c:v>0.30766622122884102</c:v>
                </c:pt>
                <c:pt idx="6">
                  <c:v>0.49801195229053014</c:v>
                </c:pt>
                <c:pt idx="7">
                  <c:v>0.60994909060243507</c:v>
                </c:pt>
                <c:pt idx="8">
                  <c:v>0.90743243299437426</c:v>
                </c:pt>
                <c:pt idx="9">
                  <c:v>1.4501054373298792</c:v>
                </c:pt>
                <c:pt idx="10">
                  <c:v>1.9664750633969674</c:v>
                </c:pt>
                <c:pt idx="11">
                  <c:v>2.8785835687382666</c:v>
                </c:pt>
                <c:pt idx="12">
                  <c:v>3.3464817732338261</c:v>
                </c:pt>
                <c:pt idx="13">
                  <c:v>4.613804505033765</c:v>
                </c:pt>
                <c:pt idx="14">
                  <c:v>5.2908559027806001</c:v>
                </c:pt>
                <c:pt idx="15">
                  <c:v>7.6708672297949612</c:v>
                </c:pt>
                <c:pt idx="16">
                  <c:v>7.8150084826172082</c:v>
                </c:pt>
                <c:pt idx="17">
                  <c:v>9.1243333090534584</c:v>
                </c:pt>
                <c:pt idx="18">
                  <c:v>13.479370301259271</c:v>
                </c:pt>
                <c:pt idx="19">
                  <c:v>16.128405393345773</c:v>
                </c:pt>
                <c:pt idx="20">
                  <c:v>23.305006910863312</c:v>
                </c:pt>
                <c:pt idx="21">
                  <c:v>23.754410060291747</c:v>
                </c:pt>
                <c:pt idx="22">
                  <c:v>30.486893016528295</c:v>
                </c:pt>
                <c:pt idx="23">
                  <c:v>57.580078452945052</c:v>
                </c:pt>
                <c:pt idx="24">
                  <c:v>153.37851020731534</c:v>
                </c:pt>
                <c:pt idx="25">
                  <c:v>172.65448972943184</c:v>
                </c:pt>
                <c:pt idx="26">
                  <c:v>40.907677418257201</c:v>
                </c:pt>
                <c:pt idx="27">
                  <c:v>8.3505055494751748</c:v>
                </c:pt>
                <c:pt idx="28">
                  <c:v>1.6819706344657079</c:v>
                </c:pt>
                <c:pt idx="29">
                  <c:v>0.39326078594617903</c:v>
                </c:pt>
                <c:pt idx="30">
                  <c:v>4.5293559398912149E-3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CF-47A7-A929-2176B408892E}"/>
            </c:ext>
          </c:extLst>
        </c:ser>
        <c:ser>
          <c:idx val="4"/>
          <c:order val="4"/>
          <c:tx>
            <c:strRef>
              <c:f>Damage!$I$7</c:f>
              <c:strCache>
                <c:ptCount val="1"/>
                <c:pt idx="0">
                  <c:v>Case 2 Hotspot 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Damage!$B$8:$B$39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xVal>
          <c:yVal>
            <c:numRef>
              <c:f>Damage!$I$8:$I$39</c:f>
              <c:numCache>
                <c:formatCode>0.0</c:formatCode>
                <c:ptCount val="32"/>
                <c:pt idx="0">
                  <c:v>6.0056668749159783E-2</c:v>
                </c:pt>
                <c:pt idx="1">
                  <c:v>3.8176419745077829E-2</c:v>
                </c:pt>
                <c:pt idx="2">
                  <c:v>3.8646747734531299E-2</c:v>
                </c:pt>
                <c:pt idx="3">
                  <c:v>7.9962295846802645E-2</c:v>
                </c:pt>
                <c:pt idx="4">
                  <c:v>0.11803570531420113</c:v>
                </c:pt>
                <c:pt idx="5">
                  <c:v>0.21476757767638277</c:v>
                </c:pt>
                <c:pt idx="6">
                  <c:v>0.34763914029993337</c:v>
                </c:pt>
                <c:pt idx="7">
                  <c:v>0.42577728608420151</c:v>
                </c:pt>
                <c:pt idx="8">
                  <c:v>0.63343666640034513</c:v>
                </c:pt>
                <c:pt idx="9">
                  <c:v>1.0122516242010362</c:v>
                </c:pt>
                <c:pt idx="10">
                  <c:v>1.3727054086078774</c:v>
                </c:pt>
                <c:pt idx="11">
                  <c:v>2.0094062251218676</c:v>
                </c:pt>
                <c:pt idx="12">
                  <c:v>2.3360243490656614</c:v>
                </c:pt>
                <c:pt idx="13">
                  <c:v>3.2206838094243007</c:v>
                </c:pt>
                <c:pt idx="14">
                  <c:v>3.6933021166135807</c:v>
                </c:pt>
                <c:pt idx="15">
                  <c:v>5.3546780892623183</c:v>
                </c:pt>
                <c:pt idx="16">
                  <c:v>5.4552964398509189</c:v>
                </c:pt>
                <c:pt idx="17">
                  <c:v>6.3692756223628217</c:v>
                </c:pt>
                <c:pt idx="18">
                  <c:v>9.4093257837726263</c:v>
                </c:pt>
                <c:pt idx="19">
                  <c:v>11.258494820382547</c:v>
                </c:pt>
                <c:pt idx="20">
                  <c:v>16.268148846456082</c:v>
                </c:pt>
                <c:pt idx="21">
                  <c:v>16.581856426759781</c:v>
                </c:pt>
                <c:pt idx="22">
                  <c:v>21.281491799415747</c:v>
                </c:pt>
                <c:pt idx="23">
                  <c:v>40.193993095384549</c:v>
                </c:pt>
                <c:pt idx="24">
                  <c:v>107.06645329236933</c:v>
                </c:pt>
                <c:pt idx="25">
                  <c:v>120.5221242229305</c:v>
                </c:pt>
                <c:pt idx="26">
                  <c:v>28.555760045400728</c:v>
                </c:pt>
                <c:pt idx="27">
                  <c:v>5.8291022071611689</c:v>
                </c:pt>
                <c:pt idx="28">
                  <c:v>1.1741060082716237</c:v>
                </c:pt>
                <c:pt idx="29">
                  <c:v>0.27451718962008032</c:v>
                </c:pt>
                <c:pt idx="30">
                  <c:v>3.161734166849073E-3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CF-47A7-A929-2176B408892E}"/>
            </c:ext>
          </c:extLst>
        </c:ser>
        <c:ser>
          <c:idx val="5"/>
          <c:order val="5"/>
          <c:tx>
            <c:strRef>
              <c:f>Damage!$J$7</c:f>
              <c:strCache>
                <c:ptCount val="1"/>
                <c:pt idx="0">
                  <c:v>Case 3 Hotspot 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Damage!$B$8:$B$39</c:f>
              <c:numCache>
                <c:formatCode>General</c:formatCode>
                <c:ptCount val="32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  <c:pt idx="20">
                  <c:v>420</c:v>
                </c:pt>
                <c:pt idx="21">
                  <c:v>440</c:v>
                </c:pt>
                <c:pt idx="22">
                  <c:v>460</c:v>
                </c:pt>
                <c:pt idx="23">
                  <c:v>480</c:v>
                </c:pt>
                <c:pt idx="24">
                  <c:v>500</c:v>
                </c:pt>
                <c:pt idx="25">
                  <c:v>520</c:v>
                </c:pt>
                <c:pt idx="26">
                  <c:v>540</c:v>
                </c:pt>
                <c:pt idx="27">
                  <c:v>560</c:v>
                </c:pt>
                <c:pt idx="28">
                  <c:v>580</c:v>
                </c:pt>
                <c:pt idx="29">
                  <c:v>600</c:v>
                </c:pt>
                <c:pt idx="30">
                  <c:v>620</c:v>
                </c:pt>
                <c:pt idx="31">
                  <c:v>640</c:v>
                </c:pt>
              </c:numCache>
            </c:numRef>
          </c:xVal>
          <c:yVal>
            <c:numRef>
              <c:f>Damage!$J$8:$J$39</c:f>
              <c:numCache>
                <c:formatCode>0.0</c:formatCode>
                <c:ptCount val="32"/>
                <c:pt idx="0">
                  <c:v>7.7914499339506199E-2</c:v>
                </c:pt>
                <c:pt idx="1">
                  <c:v>4.9528165530396531E-2</c:v>
                </c:pt>
                <c:pt idx="2">
                  <c:v>5.0138345391964989E-2</c:v>
                </c:pt>
                <c:pt idx="3">
                  <c:v>0.1037390580713531</c:v>
                </c:pt>
                <c:pt idx="4">
                  <c:v>0.15313358325207047</c:v>
                </c:pt>
                <c:pt idx="5">
                  <c:v>0.2786286458695395</c:v>
                </c:pt>
                <c:pt idx="6">
                  <c:v>0.45100952369531183</c:v>
                </c:pt>
                <c:pt idx="7">
                  <c:v>0.55238202128632685</c:v>
                </c:pt>
                <c:pt idx="8">
                  <c:v>0.82178884966141597</c:v>
                </c:pt>
                <c:pt idx="9">
                  <c:v>1.3132443098807272</c:v>
                </c:pt>
                <c:pt idx="10">
                  <c:v>1.7808789078700178</c:v>
                </c:pt>
                <c:pt idx="11">
                  <c:v>2.6069025016018363</c:v>
                </c:pt>
                <c:pt idx="12">
                  <c:v>3.0306404166796752</c:v>
                </c:pt>
                <c:pt idx="13">
                  <c:v>4.178353074997335</c:v>
                </c:pt>
                <c:pt idx="14">
                  <c:v>4.7915042795228562</c:v>
                </c:pt>
                <c:pt idx="15">
                  <c:v>6.9468898481808337</c:v>
                </c:pt>
                <c:pt idx="16">
                  <c:v>7.077427032039993</c:v>
                </c:pt>
                <c:pt idx="17">
                  <c:v>8.263177622196439</c:v>
                </c:pt>
                <c:pt idx="18">
                  <c:v>12.207185693682153</c:v>
                </c:pt>
                <c:pt idx="19">
                  <c:v>14.606204531762392</c:v>
                </c:pt>
                <c:pt idx="20">
                  <c:v>21.105477525673187</c:v>
                </c:pt>
                <c:pt idx="21">
                  <c:v>21.512465951229395</c:v>
                </c:pt>
                <c:pt idx="22">
                  <c:v>27.609536347659684</c:v>
                </c:pt>
                <c:pt idx="23">
                  <c:v>52.145663649155885</c:v>
                </c:pt>
                <c:pt idx="24">
                  <c:v>138.90262776934807</c:v>
                </c:pt>
                <c:pt idx="25">
                  <c:v>156.35933800099056</c:v>
                </c:pt>
                <c:pt idx="26">
                  <c:v>37.046805850809044</c:v>
                </c:pt>
                <c:pt idx="27">
                  <c:v>7.5623838206331966</c:v>
                </c:pt>
                <c:pt idx="28">
                  <c:v>1.5232260415254801</c:v>
                </c:pt>
                <c:pt idx="29">
                  <c:v>0.35614478516403036</c:v>
                </c:pt>
                <c:pt idx="30">
                  <c:v>4.1018747756984561E-3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CF-47A7-A929-2176B4088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168432"/>
        <c:axId val="1639189072"/>
      </c:scatterChart>
      <c:catAx>
        <c:axId val="169671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Damage!$B$7</c:f>
              <c:strCache>
                <c:ptCount val="1"/>
                <c:pt idx="0">
                  <c:v>Cyclic Load Range (kN)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94944"/>
        <c:crosses val="autoZero"/>
        <c:auto val="1"/>
        <c:lblAlgn val="ctr"/>
        <c:lblOffset val="100"/>
        <c:noMultiLvlLbl val="0"/>
      </c:catAx>
      <c:valAx>
        <c:axId val="16352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Damage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13808"/>
        <c:crosses val="autoZero"/>
        <c:crossBetween val="between"/>
      </c:valAx>
      <c:valAx>
        <c:axId val="163918907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68432"/>
        <c:crosses val="max"/>
        <c:crossBetween val="midCat"/>
      </c:valAx>
      <c:valAx>
        <c:axId val="163916843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89072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86676</xdr:colOff>
      <xdr:row>4</xdr:row>
      <xdr:rowOff>2856</xdr:rowOff>
    </xdr:from>
    <xdr:to>
      <xdr:col>40</xdr:col>
      <xdr:colOff>285749</xdr:colOff>
      <xdr:row>37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2C8A5-E736-4354-BD9D-9E50CCF7A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601981</xdr:colOff>
      <xdr:row>23</xdr:row>
      <xdr:rowOff>167640</xdr:rowOff>
    </xdr:from>
    <xdr:to>
      <xdr:col>12</xdr:col>
      <xdr:colOff>327661</xdr:colOff>
      <xdr:row>52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99827-A320-4112-98BA-8FEBA51E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0031" y="4549140"/>
          <a:ext cx="4602480" cy="5455920"/>
        </a:xfrm>
        <a:prstGeom prst="rect">
          <a:avLst/>
        </a:prstGeom>
      </xdr:spPr>
    </xdr:pic>
    <xdr:clientData/>
  </xdr:twoCellAnchor>
  <xdr:twoCellAnchor>
    <xdr:from>
      <xdr:col>5</xdr:col>
      <xdr:colOff>350520</xdr:colOff>
      <xdr:row>2</xdr:row>
      <xdr:rowOff>41910</xdr:rowOff>
    </xdr:from>
    <xdr:to>
      <xdr:col>13</xdr:col>
      <xdr:colOff>457200</xdr:colOff>
      <xdr:row>21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2AD356-AA3A-43E3-946A-89181B844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68580</xdr:colOff>
      <xdr:row>24</xdr:row>
      <xdr:rowOff>74635</xdr:rowOff>
    </xdr:from>
    <xdr:to>
      <xdr:col>7</xdr:col>
      <xdr:colOff>533400</xdr:colOff>
      <xdr:row>35</xdr:row>
      <xdr:rowOff>41519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F09339-4542-4996-9CAB-637DBA880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6230" y="4646635"/>
          <a:ext cx="1684020" cy="2062384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31</xdr:row>
      <xdr:rowOff>0</xdr:rowOff>
    </xdr:from>
    <xdr:to>
      <xdr:col>12</xdr:col>
      <xdr:colOff>125076</xdr:colOff>
      <xdr:row>49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9AFC8C-370E-48B2-80F5-817C8C48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7550" y="5905500"/>
          <a:ext cx="1382376" cy="35585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205740</xdr:colOff>
      <xdr:row>24</xdr:row>
      <xdr:rowOff>30480</xdr:rowOff>
    </xdr:from>
    <xdr:to>
      <xdr:col>19</xdr:col>
      <xdr:colOff>73731</xdr:colOff>
      <xdr:row>52</xdr:row>
      <xdr:rowOff>33649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D30A73-6887-43F0-997E-F1F34278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0190" y="4602480"/>
          <a:ext cx="4459041" cy="5337169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24</xdr:row>
      <xdr:rowOff>91441</xdr:rowOff>
    </xdr:from>
    <xdr:to>
      <xdr:col>14</xdr:col>
      <xdr:colOff>1398800</xdr:colOff>
      <xdr:row>34</xdr:row>
      <xdr:rowOff>160021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7565AD-5165-42EE-8970-705DC343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01150" y="4663441"/>
          <a:ext cx="1741700" cy="1973580"/>
        </a:xfrm>
        <a:prstGeom prst="rect">
          <a:avLst/>
        </a:prstGeom>
      </xdr:spPr>
    </xdr:pic>
    <xdr:clientData/>
  </xdr:twoCellAnchor>
  <xdr:twoCellAnchor editAs="oneCell">
    <xdr:from>
      <xdr:col>16</xdr:col>
      <xdr:colOff>536922</xdr:colOff>
      <xdr:row>30</xdr:row>
      <xdr:rowOff>22861</xdr:rowOff>
    </xdr:from>
    <xdr:to>
      <xdr:col>19</xdr:col>
      <xdr:colOff>150191</xdr:colOff>
      <xdr:row>48</xdr:row>
      <xdr:rowOff>152401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93B1A4-C1A5-4F3D-8EF5-A0C14DA84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33622" y="5737861"/>
          <a:ext cx="1442069" cy="3558540"/>
        </a:xfrm>
        <a:prstGeom prst="rect">
          <a:avLst/>
        </a:prstGeom>
      </xdr:spPr>
    </xdr:pic>
    <xdr:clientData/>
  </xdr:twoCellAnchor>
  <xdr:oneCellAnchor>
    <xdr:from>
      <xdr:col>7</xdr:col>
      <xdr:colOff>594360</xdr:colOff>
      <xdr:row>50</xdr:row>
      <xdr:rowOff>114300</xdr:rowOff>
    </xdr:from>
    <xdr:ext cx="107260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5263A8-6709-40D6-82AB-8C5C0A5A6906}"/>
            </a:ext>
          </a:extLst>
        </xdr:cNvPr>
        <xdr:cNvSpPr txBox="1"/>
      </xdr:nvSpPr>
      <xdr:spPr>
        <a:xfrm>
          <a:off x="5871210" y="9639300"/>
          <a:ext cx="107260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Zones/Interface</a:t>
          </a:r>
        </a:p>
      </xdr:txBody>
    </xdr:sp>
    <xdr:clientData/>
  </xdr:oneCellAnchor>
  <xdr:oneCellAnchor>
    <xdr:from>
      <xdr:col>14</xdr:col>
      <xdr:colOff>1226820</xdr:colOff>
      <xdr:row>50</xdr:row>
      <xdr:rowOff>76200</xdr:rowOff>
    </xdr:from>
    <xdr:ext cx="123662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198191-0F0E-491D-A7CE-40161C0BB6F8}"/>
            </a:ext>
          </a:extLst>
        </xdr:cNvPr>
        <xdr:cNvSpPr txBox="1"/>
      </xdr:nvSpPr>
      <xdr:spPr>
        <a:xfrm>
          <a:off x="10770870" y="9601200"/>
          <a:ext cx="123662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Structural Element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52386</xdr:rowOff>
    </xdr:from>
    <xdr:to>
      <xdr:col>28</xdr:col>
      <xdr:colOff>104775</xdr:colOff>
      <xdr:row>34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14F3D-920D-37AA-DB2A-29BBA5623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133349</xdr:colOff>
      <xdr:row>34</xdr:row>
      <xdr:rowOff>166686</xdr:rowOff>
    </xdr:from>
    <xdr:to>
      <xdr:col>26</xdr:col>
      <xdr:colOff>190500</xdr:colOff>
      <xdr:row>58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B0A2DD-16CE-B5EE-271B-AB6FD1984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1C46-4061-4F47-9DA8-D8AA5D23F59A}">
  <dimension ref="A1:F5"/>
  <sheetViews>
    <sheetView workbookViewId="0">
      <selection activeCell="F18" sqref="F18"/>
    </sheetView>
  </sheetViews>
  <sheetFormatPr defaultRowHeight="15" x14ac:dyDescent="0.25"/>
  <cols>
    <col min="1" max="1" width="13.5703125" bestFit="1" customWidth="1"/>
    <col min="2" max="2" width="38.7109375" bestFit="1" customWidth="1"/>
    <col min="3" max="3" width="20.7109375" bestFit="1" customWidth="1"/>
    <col min="5" max="5" width="15.140625" bestFit="1" customWidth="1"/>
    <col min="6" max="6" width="12.5703125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4" t="s">
        <v>6</v>
      </c>
      <c r="C2" s="3" t="s">
        <v>7</v>
      </c>
      <c r="D2" s="3" t="s">
        <v>8</v>
      </c>
      <c r="E2" s="3" t="s">
        <v>8</v>
      </c>
      <c r="F2" s="3" t="s">
        <v>8</v>
      </c>
    </row>
    <row r="3" spans="1:6" x14ac:dyDescent="0.25">
      <c r="A3" s="5">
        <v>1</v>
      </c>
      <c r="B3" t="s">
        <v>9</v>
      </c>
      <c r="C3" s="6">
        <v>33.729999999999997</v>
      </c>
      <c r="D3" s="7">
        <v>760</v>
      </c>
      <c r="E3" s="7">
        <f>D3*COS(RADIANS(C3))</f>
        <v>632.0642541012046</v>
      </c>
      <c r="F3" s="7">
        <f>D3*SIN(RADIANS(C3))</f>
        <v>422.01277076350163</v>
      </c>
    </row>
    <row r="4" spans="1:6" x14ac:dyDescent="0.25">
      <c r="A4" s="5">
        <v>2</v>
      </c>
      <c r="B4" t="s">
        <v>10</v>
      </c>
      <c r="C4">
        <v>58.8</v>
      </c>
      <c r="D4" s="7">
        <v>760</v>
      </c>
      <c r="E4" s="7">
        <f t="shared" ref="E4:E5" si="0">D4*COS(RADIANS(C4))</f>
        <v>393.70052712357904</v>
      </c>
      <c r="F4" s="7">
        <f t="shared" ref="F4:F5" si="1">D4*SIN(RADIANS(C4))</f>
        <v>650.07683772198504</v>
      </c>
    </row>
    <row r="5" spans="1:6" x14ac:dyDescent="0.25">
      <c r="A5" s="5">
        <v>3</v>
      </c>
      <c r="B5" t="s">
        <v>11</v>
      </c>
      <c r="C5">
        <v>45.8</v>
      </c>
      <c r="D5">
        <v>907</v>
      </c>
      <c r="E5" s="7">
        <f t="shared" si="0"/>
        <v>632.32874828909007</v>
      </c>
      <c r="F5" s="7">
        <f t="shared" si="1"/>
        <v>650.23792113898787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1CC4-C92C-478D-AB94-EFC426F434C5}">
  <dimension ref="A3:Z106"/>
  <sheetViews>
    <sheetView tabSelected="1" topLeftCell="A3" workbookViewId="0">
      <selection activeCell="C6" sqref="C6"/>
    </sheetView>
  </sheetViews>
  <sheetFormatPr defaultRowHeight="15" x14ac:dyDescent="0.25"/>
  <cols>
    <col min="3" max="3" width="11.42578125" bestFit="1" customWidth="1"/>
    <col min="4" max="4" width="9.28515625" bestFit="1" customWidth="1"/>
    <col min="5" max="5" width="11.5703125" bestFit="1" customWidth="1"/>
    <col min="6" max="7" width="13.7109375" bestFit="1" customWidth="1"/>
    <col min="8" max="9" width="11.5703125" bestFit="1" customWidth="1"/>
    <col min="10" max="13" width="12.5703125" bestFit="1" customWidth="1"/>
    <col min="14" max="14" width="14.42578125" bestFit="1" customWidth="1"/>
    <col min="15" max="19" width="12.5703125" bestFit="1" customWidth="1"/>
    <col min="20" max="20" width="11.5703125" bestFit="1" customWidth="1"/>
    <col min="21" max="21" width="13.7109375" bestFit="1" customWidth="1"/>
    <col min="22" max="22" width="14.7109375" bestFit="1" customWidth="1"/>
    <col min="23" max="23" width="13.7109375" bestFit="1" customWidth="1"/>
    <col min="24" max="24" width="12.5703125" bestFit="1" customWidth="1"/>
    <col min="25" max="26" width="9.28515625" bestFit="1" customWidth="1"/>
  </cols>
  <sheetData>
    <row r="3" spans="1:26" ht="42" customHeight="1" x14ac:dyDescent="0.25">
      <c r="A3" s="14" t="s">
        <v>12</v>
      </c>
      <c r="B3" s="14"/>
      <c r="C3" s="14"/>
    </row>
    <row r="4" spans="1:26" x14ac:dyDescent="0.25">
      <c r="B4" s="15" t="s">
        <v>13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s="13" t="s">
        <v>14</v>
      </c>
      <c r="B5" s="3"/>
      <c r="C5" s="3" t="s">
        <v>32</v>
      </c>
      <c r="D5" s="3">
        <v>120</v>
      </c>
      <c r="E5" s="3">
        <v>150</v>
      </c>
      <c r="F5" s="3">
        <v>180</v>
      </c>
      <c r="G5" s="3">
        <v>210</v>
      </c>
      <c r="H5" s="3">
        <v>240</v>
      </c>
      <c r="I5" s="3">
        <v>270</v>
      </c>
      <c r="J5" s="3">
        <v>300</v>
      </c>
      <c r="K5" s="3">
        <v>330</v>
      </c>
      <c r="L5" s="3">
        <v>360</v>
      </c>
      <c r="M5" s="3">
        <v>390</v>
      </c>
      <c r="N5" s="3">
        <v>420</v>
      </c>
      <c r="O5" s="3">
        <v>450</v>
      </c>
      <c r="P5" s="3">
        <v>480</v>
      </c>
      <c r="Q5" s="3">
        <v>510</v>
      </c>
      <c r="R5" s="3">
        <v>540</v>
      </c>
      <c r="S5" s="3">
        <v>570</v>
      </c>
      <c r="T5" s="3">
        <v>600</v>
      </c>
      <c r="U5" s="3">
        <v>630</v>
      </c>
      <c r="V5" s="3">
        <v>660</v>
      </c>
      <c r="W5" s="3">
        <v>690</v>
      </c>
      <c r="X5" s="3">
        <v>720</v>
      </c>
      <c r="Y5" s="3">
        <v>750</v>
      </c>
      <c r="Z5" s="3">
        <v>780</v>
      </c>
    </row>
    <row r="6" spans="1:26" x14ac:dyDescent="0.25">
      <c r="A6" s="13"/>
      <c r="B6" s="3">
        <v>20</v>
      </c>
      <c r="C6" s="12">
        <f>SUM(D6:Z6)</f>
        <v>113175120</v>
      </c>
      <c r="D6" s="12">
        <v>0</v>
      </c>
      <c r="E6" s="12">
        <v>167840</v>
      </c>
      <c r="F6" s="12">
        <v>49731400</v>
      </c>
      <c r="G6" s="12">
        <v>13391520</v>
      </c>
      <c r="H6" s="12">
        <v>365920</v>
      </c>
      <c r="I6" s="12">
        <v>282000</v>
      </c>
      <c r="J6" s="12">
        <v>435800</v>
      </c>
      <c r="K6" s="12">
        <v>530880</v>
      </c>
      <c r="L6" s="12">
        <v>766440</v>
      </c>
      <c r="M6" s="12">
        <v>909280</v>
      </c>
      <c r="N6" s="12">
        <v>955720</v>
      </c>
      <c r="O6" s="12">
        <v>778560</v>
      </c>
      <c r="P6" s="12">
        <v>379640</v>
      </c>
      <c r="Q6" s="12">
        <v>371920</v>
      </c>
      <c r="R6" s="12">
        <v>236320</v>
      </c>
      <c r="S6" s="12">
        <v>223720</v>
      </c>
      <c r="T6" s="12">
        <v>139920</v>
      </c>
      <c r="U6" s="12">
        <v>2146640</v>
      </c>
      <c r="V6" s="12">
        <v>31984880</v>
      </c>
      <c r="W6" s="12">
        <v>9172040</v>
      </c>
      <c r="X6" s="12">
        <v>204560</v>
      </c>
      <c r="Y6" s="12">
        <v>120</v>
      </c>
      <c r="Z6" s="12">
        <v>0</v>
      </c>
    </row>
    <row r="7" spans="1:26" x14ac:dyDescent="0.25">
      <c r="A7" s="13"/>
      <c r="B7" s="3">
        <v>40</v>
      </c>
      <c r="C7" s="12">
        <f t="shared" ref="C7:C37" si="0">SUM(D7:Z7)</f>
        <v>8992800</v>
      </c>
      <c r="D7" s="12">
        <v>0</v>
      </c>
      <c r="E7" s="12">
        <v>0</v>
      </c>
      <c r="F7" s="12">
        <v>162200</v>
      </c>
      <c r="G7" s="12">
        <v>373680</v>
      </c>
      <c r="H7" s="12">
        <v>75280</v>
      </c>
      <c r="I7" s="12">
        <v>130960</v>
      </c>
      <c r="J7" s="12">
        <v>89000</v>
      </c>
      <c r="K7" s="12">
        <v>242520</v>
      </c>
      <c r="L7" s="12">
        <v>380840</v>
      </c>
      <c r="M7" s="12">
        <v>576440</v>
      </c>
      <c r="N7" s="12">
        <v>389640</v>
      </c>
      <c r="O7" s="12">
        <v>290640</v>
      </c>
      <c r="P7" s="12">
        <v>213480</v>
      </c>
      <c r="Q7" s="12">
        <v>155000</v>
      </c>
      <c r="R7" s="12">
        <v>41160</v>
      </c>
      <c r="S7" s="12">
        <v>20720</v>
      </c>
      <c r="T7" s="12">
        <v>49080</v>
      </c>
      <c r="U7" s="12">
        <v>913120</v>
      </c>
      <c r="V7" s="12">
        <v>4227520</v>
      </c>
      <c r="W7" s="12">
        <v>647680</v>
      </c>
      <c r="X7" s="12">
        <v>13840</v>
      </c>
      <c r="Y7" s="12">
        <v>0</v>
      </c>
      <c r="Z7" s="12">
        <v>0</v>
      </c>
    </row>
    <row r="8" spans="1:26" x14ac:dyDescent="0.25">
      <c r="A8" s="13"/>
      <c r="B8" s="3">
        <v>60</v>
      </c>
      <c r="C8" s="12">
        <f t="shared" si="0"/>
        <v>2697360</v>
      </c>
      <c r="D8" s="12">
        <v>0</v>
      </c>
      <c r="E8" s="12">
        <v>0</v>
      </c>
      <c r="F8" s="12">
        <v>23320</v>
      </c>
      <c r="G8" s="12">
        <v>109760</v>
      </c>
      <c r="H8" s="12">
        <v>45480</v>
      </c>
      <c r="I8" s="12">
        <v>71760</v>
      </c>
      <c r="J8" s="12">
        <v>91440</v>
      </c>
      <c r="K8" s="12">
        <v>218520</v>
      </c>
      <c r="L8" s="12">
        <v>368360</v>
      </c>
      <c r="M8" s="12">
        <v>340560</v>
      </c>
      <c r="N8" s="12">
        <v>588720</v>
      </c>
      <c r="O8" s="12">
        <v>187720</v>
      </c>
      <c r="P8" s="12">
        <v>173520</v>
      </c>
      <c r="Q8" s="12">
        <v>65080</v>
      </c>
      <c r="R8" s="12">
        <v>62160</v>
      </c>
      <c r="S8" s="12">
        <v>66920</v>
      </c>
      <c r="T8" s="12">
        <v>13600</v>
      </c>
      <c r="U8" s="12">
        <v>102040</v>
      </c>
      <c r="V8" s="12">
        <v>153200</v>
      </c>
      <c r="W8" s="12">
        <v>14160</v>
      </c>
      <c r="X8" s="12">
        <v>1040</v>
      </c>
      <c r="Y8" s="12">
        <v>0</v>
      </c>
      <c r="Z8" s="12">
        <v>0</v>
      </c>
    </row>
    <row r="9" spans="1:26" x14ac:dyDescent="0.25">
      <c r="A9" s="13"/>
      <c r="B9" s="3">
        <v>80</v>
      </c>
      <c r="C9" s="12">
        <f t="shared" si="0"/>
        <v>2354480</v>
      </c>
      <c r="D9" s="12">
        <v>0</v>
      </c>
      <c r="E9" s="12">
        <v>0</v>
      </c>
      <c r="F9" s="12">
        <v>7400</v>
      </c>
      <c r="G9" s="12">
        <v>51440</v>
      </c>
      <c r="H9" s="12">
        <v>34160</v>
      </c>
      <c r="I9" s="12">
        <v>20200</v>
      </c>
      <c r="J9" s="12">
        <v>144120</v>
      </c>
      <c r="K9" s="12">
        <v>151000</v>
      </c>
      <c r="L9" s="12">
        <v>267360</v>
      </c>
      <c r="M9" s="12">
        <v>542760</v>
      </c>
      <c r="N9" s="12">
        <v>572680</v>
      </c>
      <c r="O9" s="12">
        <v>274080</v>
      </c>
      <c r="P9" s="12">
        <v>88680</v>
      </c>
      <c r="Q9" s="12">
        <v>105920</v>
      </c>
      <c r="R9" s="12">
        <v>19520</v>
      </c>
      <c r="S9" s="12">
        <v>5240</v>
      </c>
      <c r="T9" s="12">
        <v>5040</v>
      </c>
      <c r="U9" s="12">
        <v>25480</v>
      </c>
      <c r="V9" s="12">
        <v>37120</v>
      </c>
      <c r="W9" s="12">
        <v>2280</v>
      </c>
      <c r="X9" s="12">
        <v>0</v>
      </c>
      <c r="Y9" s="12">
        <v>0</v>
      </c>
      <c r="Z9" s="12">
        <v>0</v>
      </c>
    </row>
    <row r="10" spans="1:26" x14ac:dyDescent="0.25">
      <c r="A10" s="13"/>
      <c r="B10" s="3">
        <v>100</v>
      </c>
      <c r="C10" s="12">
        <f t="shared" si="0"/>
        <v>1779480</v>
      </c>
      <c r="D10" s="12">
        <v>0</v>
      </c>
      <c r="E10" s="12">
        <v>0</v>
      </c>
      <c r="F10" s="12">
        <v>40</v>
      </c>
      <c r="G10" s="12">
        <v>13360</v>
      </c>
      <c r="H10" s="12">
        <v>30360</v>
      </c>
      <c r="I10" s="12">
        <v>32400</v>
      </c>
      <c r="J10" s="12">
        <v>77600</v>
      </c>
      <c r="K10" s="12">
        <v>149880</v>
      </c>
      <c r="L10" s="12">
        <v>244480</v>
      </c>
      <c r="M10" s="12">
        <v>506040</v>
      </c>
      <c r="N10" s="12">
        <v>366040</v>
      </c>
      <c r="O10" s="12">
        <v>194800</v>
      </c>
      <c r="P10" s="12">
        <v>88840</v>
      </c>
      <c r="Q10" s="12">
        <v>34920</v>
      </c>
      <c r="R10" s="12">
        <v>26640</v>
      </c>
      <c r="S10" s="12">
        <v>2480</v>
      </c>
      <c r="T10" s="12">
        <v>1160</v>
      </c>
      <c r="U10" s="12">
        <v>7200</v>
      </c>
      <c r="V10" s="12">
        <v>3240</v>
      </c>
      <c r="W10" s="12">
        <v>0</v>
      </c>
      <c r="X10" s="12">
        <v>0</v>
      </c>
      <c r="Y10" s="12">
        <v>0</v>
      </c>
      <c r="Z10" s="12">
        <v>0</v>
      </c>
    </row>
    <row r="11" spans="1:26" x14ac:dyDescent="0.25">
      <c r="A11" s="13"/>
      <c r="B11" s="3">
        <v>120</v>
      </c>
      <c r="C11" s="12">
        <f t="shared" si="0"/>
        <v>1873720</v>
      </c>
      <c r="D11" s="12">
        <v>0</v>
      </c>
      <c r="E11" s="12">
        <v>0</v>
      </c>
      <c r="F11" s="12">
        <v>0</v>
      </c>
      <c r="G11" s="12">
        <v>0</v>
      </c>
      <c r="H11" s="12">
        <v>22240</v>
      </c>
      <c r="I11" s="12">
        <v>14800</v>
      </c>
      <c r="J11" s="12">
        <v>95440</v>
      </c>
      <c r="K11" s="12">
        <v>147600</v>
      </c>
      <c r="L11" s="12">
        <v>299200</v>
      </c>
      <c r="M11" s="12">
        <v>604200</v>
      </c>
      <c r="N11" s="12">
        <v>410840</v>
      </c>
      <c r="O11" s="12">
        <v>170680</v>
      </c>
      <c r="P11" s="12">
        <v>44600</v>
      </c>
      <c r="Q11" s="12">
        <v>33840</v>
      </c>
      <c r="R11" s="12">
        <v>3640</v>
      </c>
      <c r="S11" s="12">
        <v>8120</v>
      </c>
      <c r="T11" s="12">
        <v>13000</v>
      </c>
      <c r="U11" s="12">
        <v>4560</v>
      </c>
      <c r="V11" s="12">
        <v>880</v>
      </c>
      <c r="W11" s="12">
        <v>80</v>
      </c>
      <c r="X11" s="12">
        <v>0</v>
      </c>
      <c r="Y11" s="12">
        <v>0</v>
      </c>
      <c r="Z11" s="12">
        <v>0</v>
      </c>
    </row>
    <row r="12" spans="1:26" x14ac:dyDescent="0.25">
      <c r="A12" s="13"/>
      <c r="B12" s="3">
        <v>140</v>
      </c>
      <c r="C12" s="12">
        <f t="shared" si="0"/>
        <v>1909960</v>
      </c>
      <c r="D12" s="12">
        <v>0</v>
      </c>
      <c r="E12" s="12">
        <v>0</v>
      </c>
      <c r="F12" s="12">
        <v>0</v>
      </c>
      <c r="G12" s="12">
        <v>0</v>
      </c>
      <c r="H12" s="12">
        <v>23440</v>
      </c>
      <c r="I12" s="12">
        <v>27480</v>
      </c>
      <c r="J12" s="12">
        <v>81200</v>
      </c>
      <c r="K12" s="12">
        <v>134320</v>
      </c>
      <c r="L12" s="12">
        <v>211720</v>
      </c>
      <c r="M12" s="12">
        <v>716440</v>
      </c>
      <c r="N12" s="12">
        <v>428440</v>
      </c>
      <c r="O12" s="12">
        <v>133160</v>
      </c>
      <c r="P12" s="12">
        <v>97800</v>
      </c>
      <c r="Q12" s="12">
        <v>41920</v>
      </c>
      <c r="R12" s="12">
        <v>11640</v>
      </c>
      <c r="S12" s="12">
        <v>1680</v>
      </c>
      <c r="T12" s="12">
        <v>680</v>
      </c>
      <c r="U12" s="12">
        <v>40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</row>
    <row r="13" spans="1:26" x14ac:dyDescent="0.25">
      <c r="A13" s="13"/>
      <c r="B13" s="3">
        <v>160</v>
      </c>
      <c r="C13" s="12">
        <f t="shared" si="0"/>
        <v>1567120</v>
      </c>
      <c r="D13" s="12">
        <v>0</v>
      </c>
      <c r="E13" s="12">
        <v>0</v>
      </c>
      <c r="F13" s="12">
        <v>0</v>
      </c>
      <c r="G13" s="12">
        <v>0</v>
      </c>
      <c r="H13" s="12">
        <v>23360</v>
      </c>
      <c r="I13" s="12">
        <v>54520</v>
      </c>
      <c r="J13" s="12">
        <v>30560</v>
      </c>
      <c r="K13" s="12">
        <v>84360</v>
      </c>
      <c r="L13" s="12">
        <v>275200</v>
      </c>
      <c r="M13" s="12">
        <v>471880</v>
      </c>
      <c r="N13" s="12">
        <v>371080</v>
      </c>
      <c r="O13" s="12">
        <v>155240</v>
      </c>
      <c r="P13" s="12">
        <v>72520</v>
      </c>
      <c r="Q13" s="12">
        <v>15960</v>
      </c>
      <c r="R13" s="12">
        <v>7640</v>
      </c>
      <c r="S13" s="12">
        <v>3120</v>
      </c>
      <c r="T13" s="12">
        <v>1320</v>
      </c>
      <c r="U13" s="12">
        <v>360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</row>
    <row r="14" spans="1:26" x14ac:dyDescent="0.25">
      <c r="A14" s="13"/>
      <c r="B14" s="3">
        <v>180</v>
      </c>
      <c r="C14" s="12">
        <f t="shared" si="0"/>
        <v>1637440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13160</v>
      </c>
      <c r="J14" s="12">
        <v>60680</v>
      </c>
      <c r="K14" s="12">
        <v>55680</v>
      </c>
      <c r="L14" s="12">
        <v>203480</v>
      </c>
      <c r="M14" s="12">
        <v>591640</v>
      </c>
      <c r="N14" s="12">
        <v>482680</v>
      </c>
      <c r="O14" s="12">
        <v>114720</v>
      </c>
      <c r="P14" s="12">
        <v>55240</v>
      </c>
      <c r="Q14" s="12">
        <v>29360</v>
      </c>
      <c r="R14" s="12">
        <v>24760</v>
      </c>
      <c r="S14" s="12">
        <v>2520</v>
      </c>
      <c r="T14" s="12">
        <v>3520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</row>
    <row r="15" spans="1:26" x14ac:dyDescent="0.25">
      <c r="A15" s="13"/>
      <c r="B15" s="3">
        <v>200</v>
      </c>
      <c r="C15" s="12">
        <f t="shared" si="0"/>
        <v>1907560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11000</v>
      </c>
      <c r="J15" s="12">
        <v>54080</v>
      </c>
      <c r="K15" s="12">
        <v>78880</v>
      </c>
      <c r="L15" s="12">
        <v>218440</v>
      </c>
      <c r="M15" s="12">
        <v>721240</v>
      </c>
      <c r="N15" s="12">
        <v>613280</v>
      </c>
      <c r="O15" s="12">
        <v>159160</v>
      </c>
      <c r="P15" s="12">
        <v>26360</v>
      </c>
      <c r="Q15" s="12">
        <v>6240</v>
      </c>
      <c r="R15" s="12">
        <v>6560</v>
      </c>
      <c r="S15" s="12">
        <v>11000</v>
      </c>
      <c r="T15" s="12">
        <v>1320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</row>
    <row r="16" spans="1:26" x14ac:dyDescent="0.25">
      <c r="A16" s="13"/>
      <c r="B16" s="3">
        <v>220</v>
      </c>
      <c r="C16" s="12">
        <f t="shared" si="0"/>
        <v>1943520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3520</v>
      </c>
      <c r="J16" s="12">
        <v>49760</v>
      </c>
      <c r="K16" s="12">
        <v>64120</v>
      </c>
      <c r="L16" s="12">
        <v>278160</v>
      </c>
      <c r="M16" s="12">
        <v>778320</v>
      </c>
      <c r="N16" s="12">
        <v>567800</v>
      </c>
      <c r="O16" s="12">
        <v>165560</v>
      </c>
      <c r="P16" s="12">
        <v>19600</v>
      </c>
      <c r="Q16" s="12">
        <v>960</v>
      </c>
      <c r="R16" s="12">
        <v>8840</v>
      </c>
      <c r="S16" s="12">
        <v>6880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</row>
    <row r="17" spans="1:26" x14ac:dyDescent="0.25">
      <c r="A17" s="13"/>
      <c r="B17" s="3">
        <v>240</v>
      </c>
      <c r="C17" s="12">
        <f t="shared" si="0"/>
        <v>2191360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70440</v>
      </c>
      <c r="K17" s="12">
        <v>106600</v>
      </c>
      <c r="L17" s="12">
        <v>260640</v>
      </c>
      <c r="M17" s="12">
        <v>982200</v>
      </c>
      <c r="N17" s="12">
        <v>666640</v>
      </c>
      <c r="O17" s="12">
        <v>79160</v>
      </c>
      <c r="P17" s="12">
        <v>13480</v>
      </c>
      <c r="Q17" s="12">
        <v>2120</v>
      </c>
      <c r="R17" s="12">
        <v>5520</v>
      </c>
      <c r="S17" s="12">
        <v>4520</v>
      </c>
      <c r="T17" s="12">
        <v>40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</row>
    <row r="18" spans="1:26" x14ac:dyDescent="0.25">
      <c r="B18" s="3">
        <v>260</v>
      </c>
      <c r="C18" s="12">
        <f t="shared" si="0"/>
        <v>2003720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11640</v>
      </c>
      <c r="K18" s="12">
        <v>79600</v>
      </c>
      <c r="L18" s="12">
        <v>227120</v>
      </c>
      <c r="M18" s="12">
        <v>853680</v>
      </c>
      <c r="N18" s="12">
        <v>675360</v>
      </c>
      <c r="O18" s="12">
        <v>85840</v>
      </c>
      <c r="P18" s="12">
        <v>57160</v>
      </c>
      <c r="Q18" s="12">
        <v>1600</v>
      </c>
      <c r="R18" s="12">
        <v>10600</v>
      </c>
      <c r="S18" s="12">
        <v>1120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</row>
    <row r="19" spans="1:26" x14ac:dyDescent="0.25">
      <c r="B19" s="3">
        <v>280</v>
      </c>
      <c r="C19" s="12">
        <f t="shared" si="0"/>
        <v>2211840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11800</v>
      </c>
      <c r="K19" s="12">
        <v>133960</v>
      </c>
      <c r="L19" s="12">
        <v>341440</v>
      </c>
      <c r="M19" s="12">
        <v>812800</v>
      </c>
      <c r="N19" s="12">
        <v>718640</v>
      </c>
      <c r="O19" s="12">
        <v>134600</v>
      </c>
      <c r="P19" s="12">
        <v>43720</v>
      </c>
      <c r="Q19" s="12">
        <v>10880</v>
      </c>
      <c r="R19" s="12">
        <v>4000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</row>
    <row r="20" spans="1:26" x14ac:dyDescent="0.25">
      <c r="B20" s="3">
        <v>300</v>
      </c>
      <c r="C20" s="12">
        <f t="shared" si="0"/>
        <v>2062200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1640</v>
      </c>
      <c r="K20" s="12">
        <v>68120</v>
      </c>
      <c r="L20" s="12">
        <v>314840</v>
      </c>
      <c r="M20" s="12">
        <v>738720</v>
      </c>
      <c r="N20" s="12">
        <v>695360</v>
      </c>
      <c r="O20" s="12">
        <v>216720</v>
      </c>
      <c r="P20" s="12">
        <v>13080</v>
      </c>
      <c r="Q20" s="12">
        <v>11400</v>
      </c>
      <c r="R20" s="12">
        <v>2320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</row>
    <row r="21" spans="1:26" x14ac:dyDescent="0.25">
      <c r="B21" s="3">
        <v>320</v>
      </c>
      <c r="C21" s="12">
        <f t="shared" si="0"/>
        <v>2463560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59040</v>
      </c>
      <c r="L21" s="12">
        <v>310120</v>
      </c>
      <c r="M21" s="12">
        <v>991960</v>
      </c>
      <c r="N21" s="12">
        <v>809800</v>
      </c>
      <c r="O21" s="12">
        <v>202240</v>
      </c>
      <c r="P21" s="12">
        <v>65720</v>
      </c>
      <c r="Q21" s="12">
        <v>7720</v>
      </c>
      <c r="R21" s="12">
        <v>16960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</row>
    <row r="22" spans="1:26" x14ac:dyDescent="0.25">
      <c r="B22" s="3">
        <v>340</v>
      </c>
      <c r="C22" s="12">
        <f t="shared" si="0"/>
        <v>2092480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37880</v>
      </c>
      <c r="L22" s="12">
        <v>443360</v>
      </c>
      <c r="M22" s="12">
        <v>704920</v>
      </c>
      <c r="N22" s="12">
        <v>612880</v>
      </c>
      <c r="O22" s="12">
        <v>253480</v>
      </c>
      <c r="P22" s="12">
        <v>36720</v>
      </c>
      <c r="Q22" s="12">
        <v>3200</v>
      </c>
      <c r="R22" s="12">
        <v>40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</row>
    <row r="23" spans="1:26" x14ac:dyDescent="0.25">
      <c r="B23" s="3">
        <v>360</v>
      </c>
      <c r="C23" s="12">
        <f t="shared" si="0"/>
        <v>2058080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800</v>
      </c>
      <c r="L23" s="12">
        <v>574920</v>
      </c>
      <c r="M23" s="12">
        <v>741600</v>
      </c>
      <c r="N23" s="12">
        <v>569800</v>
      </c>
      <c r="O23" s="12">
        <v>143720</v>
      </c>
      <c r="P23" s="12">
        <v>25320</v>
      </c>
      <c r="Q23" s="12">
        <v>1920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</row>
    <row r="24" spans="1:26" x14ac:dyDescent="0.25">
      <c r="B24" s="3">
        <v>380</v>
      </c>
      <c r="C24" s="12">
        <f t="shared" si="0"/>
        <v>2585160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5640</v>
      </c>
      <c r="L24" s="12">
        <v>705160</v>
      </c>
      <c r="M24" s="12">
        <v>1005240</v>
      </c>
      <c r="N24" s="12">
        <v>625120</v>
      </c>
      <c r="O24" s="12">
        <v>223800</v>
      </c>
      <c r="P24" s="12">
        <v>20080</v>
      </c>
      <c r="Q24" s="12">
        <v>120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</row>
    <row r="25" spans="1:26" x14ac:dyDescent="0.25">
      <c r="B25" s="3">
        <v>400</v>
      </c>
      <c r="C25" s="12">
        <f t="shared" si="0"/>
        <v>2652040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310320</v>
      </c>
      <c r="M25" s="12">
        <v>1392960</v>
      </c>
      <c r="N25" s="12">
        <v>762080</v>
      </c>
      <c r="O25" s="12">
        <v>157200</v>
      </c>
      <c r="P25" s="12">
        <v>29480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</row>
    <row r="26" spans="1:26" x14ac:dyDescent="0.25">
      <c r="B26" s="3">
        <v>420</v>
      </c>
      <c r="C26" s="12">
        <f t="shared" si="0"/>
        <v>3310320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4880</v>
      </c>
      <c r="M26" s="12">
        <v>2136600</v>
      </c>
      <c r="N26" s="12">
        <v>811080</v>
      </c>
      <c r="O26" s="12">
        <v>311120</v>
      </c>
      <c r="P26" s="12">
        <v>46640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</row>
    <row r="27" spans="1:26" x14ac:dyDescent="0.25">
      <c r="B27" s="3">
        <v>440</v>
      </c>
      <c r="C27" s="12">
        <f t="shared" si="0"/>
        <v>2934640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1676800</v>
      </c>
      <c r="N27" s="12">
        <v>902320</v>
      </c>
      <c r="O27" s="12">
        <v>339920</v>
      </c>
      <c r="P27" s="12">
        <v>15600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</row>
    <row r="28" spans="1:26" x14ac:dyDescent="0.25">
      <c r="B28" s="3">
        <v>460</v>
      </c>
      <c r="C28" s="12">
        <f t="shared" si="0"/>
        <v>3296160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651000</v>
      </c>
      <c r="N28" s="12">
        <v>2113240</v>
      </c>
      <c r="O28" s="12">
        <v>531280</v>
      </c>
      <c r="P28" s="12">
        <v>600</v>
      </c>
      <c r="Q28" s="12">
        <v>40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</row>
    <row r="29" spans="1:26" x14ac:dyDescent="0.25">
      <c r="B29" s="3">
        <v>480</v>
      </c>
      <c r="C29" s="12">
        <f t="shared" si="0"/>
        <v>5479200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30440</v>
      </c>
      <c r="N29" s="12">
        <v>5024960</v>
      </c>
      <c r="O29" s="12">
        <v>423800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</row>
    <row r="30" spans="1:26" x14ac:dyDescent="0.25">
      <c r="B30" s="3">
        <v>500</v>
      </c>
      <c r="C30" s="12">
        <f t="shared" si="0"/>
        <v>12912880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7440</v>
      </c>
      <c r="N30" s="12">
        <v>12433360</v>
      </c>
      <c r="O30" s="12">
        <v>472080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</row>
    <row r="31" spans="1:26" x14ac:dyDescent="0.25">
      <c r="B31" s="3">
        <v>520</v>
      </c>
      <c r="C31" s="12">
        <f t="shared" si="0"/>
        <v>12922200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12468040</v>
      </c>
      <c r="O31" s="12">
        <v>454160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</row>
    <row r="32" spans="1:26" x14ac:dyDescent="0.25">
      <c r="B32" s="3">
        <v>540</v>
      </c>
      <c r="C32" s="12">
        <f t="shared" si="0"/>
        <v>2733960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2401280</v>
      </c>
      <c r="O32" s="12">
        <v>332680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</row>
    <row r="33" spans="2:26" x14ac:dyDescent="0.25">
      <c r="B33" s="3">
        <v>560</v>
      </c>
      <c r="C33" s="12">
        <f t="shared" si="0"/>
        <v>500400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285160</v>
      </c>
      <c r="O33" s="12">
        <v>215240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</row>
    <row r="34" spans="2:26" x14ac:dyDescent="0.25">
      <c r="B34" s="3">
        <v>580</v>
      </c>
      <c r="C34" s="12">
        <f t="shared" si="0"/>
        <v>90720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17600</v>
      </c>
      <c r="O34" s="12">
        <v>73120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</row>
    <row r="35" spans="2:26" x14ac:dyDescent="0.25">
      <c r="B35" s="3">
        <v>600</v>
      </c>
      <c r="C35" s="12">
        <f t="shared" si="0"/>
        <v>19160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2320</v>
      </c>
      <c r="O35" s="12">
        <v>16840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</row>
    <row r="36" spans="2:26" x14ac:dyDescent="0.25">
      <c r="B36" s="3">
        <v>620</v>
      </c>
      <c r="C36" s="12">
        <f t="shared" si="0"/>
        <v>200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40</v>
      </c>
      <c r="O36" s="12">
        <v>160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</row>
    <row r="37" spans="2:26" x14ac:dyDescent="0.25">
      <c r="B37" s="3">
        <v>640</v>
      </c>
      <c r="C37" s="12">
        <f t="shared" si="0"/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</row>
    <row r="40" spans="2:26" x14ac:dyDescent="0.25">
      <c r="C40" t="s">
        <v>33</v>
      </c>
      <c r="D40">
        <v>120</v>
      </c>
      <c r="E40">
        <v>150</v>
      </c>
      <c r="F40">
        <v>180</v>
      </c>
      <c r="G40">
        <v>210</v>
      </c>
      <c r="H40">
        <v>240</v>
      </c>
      <c r="I40">
        <v>270</v>
      </c>
      <c r="J40">
        <v>300</v>
      </c>
      <c r="K40">
        <v>330</v>
      </c>
      <c r="L40">
        <v>360</v>
      </c>
      <c r="M40">
        <v>390</v>
      </c>
      <c r="N40">
        <v>420</v>
      </c>
      <c r="O40">
        <v>450</v>
      </c>
      <c r="P40">
        <v>480</v>
      </c>
      <c r="Q40">
        <v>510</v>
      </c>
      <c r="R40">
        <v>540</v>
      </c>
      <c r="S40">
        <v>570</v>
      </c>
      <c r="T40">
        <v>600</v>
      </c>
      <c r="U40">
        <v>630</v>
      </c>
      <c r="V40">
        <v>660</v>
      </c>
      <c r="W40">
        <v>690</v>
      </c>
      <c r="X40">
        <v>720</v>
      </c>
      <c r="Y40">
        <v>750</v>
      </c>
      <c r="Z40">
        <v>780</v>
      </c>
    </row>
    <row r="41" spans="2:26" x14ac:dyDescent="0.25">
      <c r="B41">
        <v>20</v>
      </c>
      <c r="D41" s="7">
        <f>(D$40-$B41/2)*IF(D6=0,0,1)</f>
        <v>0</v>
      </c>
      <c r="E41" s="7">
        <f t="shared" ref="E41:Z41" si="1">(E$40-$B41/2)*IF(E6=0,0,1)</f>
        <v>140</v>
      </c>
      <c r="F41" s="7">
        <f t="shared" si="1"/>
        <v>170</v>
      </c>
      <c r="G41" s="7">
        <f t="shared" si="1"/>
        <v>200</v>
      </c>
      <c r="H41" s="7">
        <f t="shared" si="1"/>
        <v>230</v>
      </c>
      <c r="I41" s="7">
        <f t="shared" si="1"/>
        <v>260</v>
      </c>
      <c r="J41" s="7">
        <f t="shared" si="1"/>
        <v>290</v>
      </c>
      <c r="K41" s="7">
        <f t="shared" si="1"/>
        <v>320</v>
      </c>
      <c r="L41" s="7">
        <f t="shared" si="1"/>
        <v>350</v>
      </c>
      <c r="M41" s="7">
        <f t="shared" si="1"/>
        <v>380</v>
      </c>
      <c r="N41" s="7">
        <f t="shared" si="1"/>
        <v>410</v>
      </c>
      <c r="O41" s="7">
        <f t="shared" si="1"/>
        <v>440</v>
      </c>
      <c r="P41" s="7">
        <f t="shared" si="1"/>
        <v>470</v>
      </c>
      <c r="Q41" s="7">
        <f t="shared" si="1"/>
        <v>500</v>
      </c>
      <c r="R41" s="7">
        <f t="shared" si="1"/>
        <v>530</v>
      </c>
      <c r="S41" s="7">
        <f t="shared" si="1"/>
        <v>560</v>
      </c>
      <c r="T41" s="7">
        <f t="shared" si="1"/>
        <v>590</v>
      </c>
      <c r="U41" s="7">
        <f t="shared" si="1"/>
        <v>620</v>
      </c>
      <c r="V41" s="7">
        <f t="shared" si="1"/>
        <v>650</v>
      </c>
      <c r="W41" s="7">
        <f t="shared" si="1"/>
        <v>680</v>
      </c>
      <c r="X41" s="7">
        <f t="shared" si="1"/>
        <v>710</v>
      </c>
      <c r="Y41" s="7">
        <f t="shared" si="1"/>
        <v>740</v>
      </c>
      <c r="Z41" s="7">
        <f t="shared" si="1"/>
        <v>0</v>
      </c>
    </row>
    <row r="42" spans="2:26" x14ac:dyDescent="0.25">
      <c r="B42">
        <v>40</v>
      </c>
      <c r="D42" s="7">
        <f t="shared" ref="D42:Z42" si="2">(D$40-$B42/2)*IF(D7=0,0,1)</f>
        <v>0</v>
      </c>
      <c r="E42" s="7">
        <f t="shared" si="2"/>
        <v>0</v>
      </c>
      <c r="F42" s="7">
        <f t="shared" si="2"/>
        <v>160</v>
      </c>
      <c r="G42" s="7">
        <f t="shared" si="2"/>
        <v>190</v>
      </c>
      <c r="H42" s="7">
        <f t="shared" si="2"/>
        <v>220</v>
      </c>
      <c r="I42" s="7">
        <f t="shared" si="2"/>
        <v>250</v>
      </c>
      <c r="J42" s="7">
        <f t="shared" si="2"/>
        <v>280</v>
      </c>
      <c r="K42" s="7">
        <f t="shared" si="2"/>
        <v>310</v>
      </c>
      <c r="L42" s="7">
        <f t="shared" si="2"/>
        <v>340</v>
      </c>
      <c r="M42" s="7">
        <f t="shared" si="2"/>
        <v>370</v>
      </c>
      <c r="N42" s="7">
        <f t="shared" si="2"/>
        <v>400</v>
      </c>
      <c r="O42" s="7">
        <f t="shared" si="2"/>
        <v>430</v>
      </c>
      <c r="P42" s="7">
        <f t="shared" si="2"/>
        <v>460</v>
      </c>
      <c r="Q42" s="7">
        <f t="shared" si="2"/>
        <v>490</v>
      </c>
      <c r="R42" s="7">
        <f t="shared" si="2"/>
        <v>520</v>
      </c>
      <c r="S42" s="7">
        <f t="shared" si="2"/>
        <v>550</v>
      </c>
      <c r="T42" s="7">
        <f t="shared" si="2"/>
        <v>580</v>
      </c>
      <c r="U42" s="7">
        <f t="shared" si="2"/>
        <v>610</v>
      </c>
      <c r="V42" s="7">
        <f t="shared" si="2"/>
        <v>640</v>
      </c>
      <c r="W42" s="7">
        <f t="shared" si="2"/>
        <v>670</v>
      </c>
      <c r="X42" s="7">
        <f t="shared" si="2"/>
        <v>700</v>
      </c>
      <c r="Y42" s="7">
        <f t="shared" si="2"/>
        <v>0</v>
      </c>
      <c r="Z42" s="7">
        <f t="shared" si="2"/>
        <v>0</v>
      </c>
    </row>
    <row r="43" spans="2:26" x14ac:dyDescent="0.25">
      <c r="B43">
        <v>60</v>
      </c>
      <c r="D43" s="7">
        <f t="shared" ref="D43:Z43" si="3">(D$40-$B43/2)*IF(D8=0,0,1)</f>
        <v>0</v>
      </c>
      <c r="E43" s="7">
        <f t="shared" si="3"/>
        <v>0</v>
      </c>
      <c r="F43" s="7">
        <f t="shared" si="3"/>
        <v>150</v>
      </c>
      <c r="G43" s="7">
        <f t="shared" si="3"/>
        <v>180</v>
      </c>
      <c r="H43" s="7">
        <f t="shared" si="3"/>
        <v>210</v>
      </c>
      <c r="I43" s="7">
        <f t="shared" si="3"/>
        <v>240</v>
      </c>
      <c r="J43" s="7">
        <f t="shared" si="3"/>
        <v>270</v>
      </c>
      <c r="K43" s="7">
        <f t="shared" si="3"/>
        <v>300</v>
      </c>
      <c r="L43" s="7">
        <f t="shared" si="3"/>
        <v>330</v>
      </c>
      <c r="M43" s="7">
        <f t="shared" si="3"/>
        <v>360</v>
      </c>
      <c r="N43" s="7">
        <f t="shared" si="3"/>
        <v>390</v>
      </c>
      <c r="O43" s="7">
        <f t="shared" si="3"/>
        <v>420</v>
      </c>
      <c r="P43" s="7">
        <f t="shared" si="3"/>
        <v>450</v>
      </c>
      <c r="Q43" s="7">
        <f t="shared" si="3"/>
        <v>480</v>
      </c>
      <c r="R43" s="7">
        <f t="shared" si="3"/>
        <v>510</v>
      </c>
      <c r="S43" s="7">
        <f t="shared" si="3"/>
        <v>540</v>
      </c>
      <c r="T43" s="7">
        <f t="shared" si="3"/>
        <v>570</v>
      </c>
      <c r="U43" s="7">
        <f t="shared" si="3"/>
        <v>600</v>
      </c>
      <c r="V43" s="7">
        <f t="shared" si="3"/>
        <v>630</v>
      </c>
      <c r="W43" s="7">
        <f t="shared" si="3"/>
        <v>660</v>
      </c>
      <c r="X43" s="7">
        <f t="shared" si="3"/>
        <v>690</v>
      </c>
      <c r="Y43" s="7">
        <f t="shared" si="3"/>
        <v>0</v>
      </c>
      <c r="Z43" s="7">
        <f t="shared" si="3"/>
        <v>0</v>
      </c>
    </row>
    <row r="44" spans="2:26" x14ac:dyDescent="0.25">
      <c r="B44">
        <v>80</v>
      </c>
      <c r="D44" s="7">
        <f t="shared" ref="D44:Z44" si="4">(D$40-$B44/2)*IF(D9=0,0,1)</f>
        <v>0</v>
      </c>
      <c r="E44" s="7">
        <f t="shared" si="4"/>
        <v>0</v>
      </c>
      <c r="F44" s="7">
        <f t="shared" si="4"/>
        <v>140</v>
      </c>
      <c r="G44" s="7">
        <f t="shared" si="4"/>
        <v>170</v>
      </c>
      <c r="H44" s="7">
        <f t="shared" si="4"/>
        <v>200</v>
      </c>
      <c r="I44" s="7">
        <f t="shared" si="4"/>
        <v>230</v>
      </c>
      <c r="J44" s="7">
        <f t="shared" si="4"/>
        <v>260</v>
      </c>
      <c r="K44" s="7">
        <f t="shared" si="4"/>
        <v>290</v>
      </c>
      <c r="L44" s="7">
        <f t="shared" si="4"/>
        <v>320</v>
      </c>
      <c r="M44" s="7">
        <f t="shared" si="4"/>
        <v>350</v>
      </c>
      <c r="N44" s="7">
        <f t="shared" si="4"/>
        <v>380</v>
      </c>
      <c r="O44" s="7">
        <f t="shared" si="4"/>
        <v>410</v>
      </c>
      <c r="P44" s="7">
        <f t="shared" si="4"/>
        <v>440</v>
      </c>
      <c r="Q44" s="7">
        <f t="shared" si="4"/>
        <v>470</v>
      </c>
      <c r="R44" s="7">
        <f t="shared" si="4"/>
        <v>500</v>
      </c>
      <c r="S44" s="7">
        <f t="shared" si="4"/>
        <v>530</v>
      </c>
      <c r="T44" s="7">
        <f t="shared" si="4"/>
        <v>560</v>
      </c>
      <c r="U44" s="7">
        <f t="shared" si="4"/>
        <v>590</v>
      </c>
      <c r="V44" s="7">
        <f t="shared" si="4"/>
        <v>620</v>
      </c>
      <c r="W44" s="7">
        <f t="shared" si="4"/>
        <v>650</v>
      </c>
      <c r="X44" s="7">
        <f t="shared" si="4"/>
        <v>0</v>
      </c>
      <c r="Y44" s="7">
        <f t="shared" si="4"/>
        <v>0</v>
      </c>
      <c r="Z44" s="7">
        <f t="shared" si="4"/>
        <v>0</v>
      </c>
    </row>
    <row r="45" spans="2:26" x14ac:dyDescent="0.25">
      <c r="B45">
        <v>100</v>
      </c>
      <c r="D45" s="7">
        <f t="shared" ref="D45:Z45" si="5">(D$40-$B45/2)*IF(D10=0,0,1)</f>
        <v>0</v>
      </c>
      <c r="E45" s="7">
        <f t="shared" si="5"/>
        <v>0</v>
      </c>
      <c r="F45" s="7">
        <f t="shared" si="5"/>
        <v>130</v>
      </c>
      <c r="G45" s="7">
        <f t="shared" si="5"/>
        <v>160</v>
      </c>
      <c r="H45" s="7">
        <f t="shared" si="5"/>
        <v>190</v>
      </c>
      <c r="I45" s="7">
        <f t="shared" si="5"/>
        <v>220</v>
      </c>
      <c r="J45" s="7">
        <f t="shared" si="5"/>
        <v>250</v>
      </c>
      <c r="K45" s="7">
        <f t="shared" si="5"/>
        <v>280</v>
      </c>
      <c r="L45" s="7">
        <f t="shared" si="5"/>
        <v>310</v>
      </c>
      <c r="M45" s="7">
        <f t="shared" si="5"/>
        <v>340</v>
      </c>
      <c r="N45" s="7">
        <f t="shared" si="5"/>
        <v>370</v>
      </c>
      <c r="O45" s="7">
        <f t="shared" si="5"/>
        <v>400</v>
      </c>
      <c r="P45" s="7">
        <f t="shared" si="5"/>
        <v>430</v>
      </c>
      <c r="Q45" s="7">
        <f t="shared" si="5"/>
        <v>460</v>
      </c>
      <c r="R45" s="7">
        <f t="shared" si="5"/>
        <v>490</v>
      </c>
      <c r="S45" s="7">
        <f t="shared" si="5"/>
        <v>520</v>
      </c>
      <c r="T45" s="7">
        <f t="shared" si="5"/>
        <v>550</v>
      </c>
      <c r="U45" s="7">
        <f t="shared" si="5"/>
        <v>580</v>
      </c>
      <c r="V45" s="7">
        <f t="shared" si="5"/>
        <v>610</v>
      </c>
      <c r="W45" s="7">
        <f t="shared" si="5"/>
        <v>0</v>
      </c>
      <c r="X45" s="7">
        <f t="shared" si="5"/>
        <v>0</v>
      </c>
      <c r="Y45" s="7">
        <f t="shared" si="5"/>
        <v>0</v>
      </c>
      <c r="Z45" s="7">
        <f t="shared" si="5"/>
        <v>0</v>
      </c>
    </row>
    <row r="46" spans="2:26" x14ac:dyDescent="0.25">
      <c r="B46">
        <v>120</v>
      </c>
      <c r="D46" s="7">
        <f t="shared" ref="D46:Z46" si="6">(D$40-$B46/2)*IF(D11=0,0,1)</f>
        <v>0</v>
      </c>
      <c r="E46" s="7">
        <f t="shared" si="6"/>
        <v>0</v>
      </c>
      <c r="F46" s="7">
        <f t="shared" si="6"/>
        <v>0</v>
      </c>
      <c r="G46" s="7">
        <f t="shared" si="6"/>
        <v>0</v>
      </c>
      <c r="H46" s="7">
        <f t="shared" si="6"/>
        <v>180</v>
      </c>
      <c r="I46" s="7">
        <f t="shared" si="6"/>
        <v>210</v>
      </c>
      <c r="J46" s="7">
        <f t="shared" si="6"/>
        <v>240</v>
      </c>
      <c r="K46" s="7">
        <f t="shared" si="6"/>
        <v>270</v>
      </c>
      <c r="L46" s="7">
        <f t="shared" si="6"/>
        <v>300</v>
      </c>
      <c r="M46" s="7">
        <f t="shared" si="6"/>
        <v>330</v>
      </c>
      <c r="N46" s="7">
        <f t="shared" si="6"/>
        <v>360</v>
      </c>
      <c r="O46" s="7">
        <f t="shared" si="6"/>
        <v>390</v>
      </c>
      <c r="P46" s="7">
        <f t="shared" si="6"/>
        <v>420</v>
      </c>
      <c r="Q46" s="7">
        <f t="shared" si="6"/>
        <v>450</v>
      </c>
      <c r="R46" s="7">
        <f t="shared" si="6"/>
        <v>480</v>
      </c>
      <c r="S46" s="7">
        <f t="shared" si="6"/>
        <v>510</v>
      </c>
      <c r="T46" s="7">
        <f t="shared" si="6"/>
        <v>540</v>
      </c>
      <c r="U46" s="7">
        <f t="shared" si="6"/>
        <v>570</v>
      </c>
      <c r="V46" s="7">
        <f t="shared" si="6"/>
        <v>600</v>
      </c>
      <c r="W46" s="7">
        <f t="shared" si="6"/>
        <v>630</v>
      </c>
      <c r="X46" s="7">
        <f t="shared" si="6"/>
        <v>0</v>
      </c>
      <c r="Y46" s="7">
        <f t="shared" si="6"/>
        <v>0</v>
      </c>
      <c r="Z46" s="7">
        <f t="shared" si="6"/>
        <v>0</v>
      </c>
    </row>
    <row r="47" spans="2:26" x14ac:dyDescent="0.25">
      <c r="B47">
        <v>140</v>
      </c>
      <c r="D47" s="7">
        <f t="shared" ref="D47:Z47" si="7">(D$40-$B47/2)*IF(D12=0,0,1)</f>
        <v>0</v>
      </c>
      <c r="E47" s="7">
        <f t="shared" si="7"/>
        <v>0</v>
      </c>
      <c r="F47" s="7">
        <f t="shared" si="7"/>
        <v>0</v>
      </c>
      <c r="G47" s="7">
        <f t="shared" si="7"/>
        <v>0</v>
      </c>
      <c r="H47" s="7">
        <f t="shared" si="7"/>
        <v>170</v>
      </c>
      <c r="I47" s="7">
        <f t="shared" si="7"/>
        <v>200</v>
      </c>
      <c r="J47" s="7">
        <f t="shared" si="7"/>
        <v>230</v>
      </c>
      <c r="K47" s="7">
        <f t="shared" si="7"/>
        <v>260</v>
      </c>
      <c r="L47" s="7">
        <f t="shared" si="7"/>
        <v>290</v>
      </c>
      <c r="M47" s="7">
        <f t="shared" si="7"/>
        <v>320</v>
      </c>
      <c r="N47" s="7">
        <f t="shared" si="7"/>
        <v>350</v>
      </c>
      <c r="O47" s="7">
        <f t="shared" si="7"/>
        <v>380</v>
      </c>
      <c r="P47" s="7">
        <f t="shared" si="7"/>
        <v>410</v>
      </c>
      <c r="Q47" s="7">
        <f t="shared" si="7"/>
        <v>440</v>
      </c>
      <c r="R47" s="7">
        <f t="shared" si="7"/>
        <v>470</v>
      </c>
      <c r="S47" s="7">
        <f t="shared" si="7"/>
        <v>500</v>
      </c>
      <c r="T47" s="7">
        <f t="shared" si="7"/>
        <v>530</v>
      </c>
      <c r="U47" s="7">
        <f t="shared" si="7"/>
        <v>560</v>
      </c>
      <c r="V47" s="7">
        <f t="shared" si="7"/>
        <v>0</v>
      </c>
      <c r="W47" s="7">
        <f t="shared" si="7"/>
        <v>0</v>
      </c>
      <c r="X47" s="7">
        <f t="shared" si="7"/>
        <v>0</v>
      </c>
      <c r="Y47" s="7">
        <f t="shared" si="7"/>
        <v>0</v>
      </c>
      <c r="Z47" s="7">
        <f t="shared" si="7"/>
        <v>0</v>
      </c>
    </row>
    <row r="48" spans="2:26" x14ac:dyDescent="0.25">
      <c r="B48">
        <v>160</v>
      </c>
      <c r="D48" s="7">
        <f t="shared" ref="D48:Z48" si="8">(D$40-$B48/2)*IF(D13=0,0,1)</f>
        <v>0</v>
      </c>
      <c r="E48" s="7">
        <f t="shared" si="8"/>
        <v>0</v>
      </c>
      <c r="F48" s="7">
        <f t="shared" si="8"/>
        <v>0</v>
      </c>
      <c r="G48" s="7">
        <f t="shared" si="8"/>
        <v>0</v>
      </c>
      <c r="H48" s="7">
        <f t="shared" si="8"/>
        <v>160</v>
      </c>
      <c r="I48" s="7">
        <f t="shared" si="8"/>
        <v>190</v>
      </c>
      <c r="J48" s="7">
        <f t="shared" si="8"/>
        <v>220</v>
      </c>
      <c r="K48" s="7">
        <f t="shared" si="8"/>
        <v>250</v>
      </c>
      <c r="L48" s="7">
        <f t="shared" si="8"/>
        <v>280</v>
      </c>
      <c r="M48" s="7">
        <f t="shared" si="8"/>
        <v>310</v>
      </c>
      <c r="N48" s="7">
        <f t="shared" si="8"/>
        <v>340</v>
      </c>
      <c r="O48" s="7">
        <f t="shared" si="8"/>
        <v>370</v>
      </c>
      <c r="P48" s="7">
        <f t="shared" si="8"/>
        <v>400</v>
      </c>
      <c r="Q48" s="7">
        <f t="shared" si="8"/>
        <v>430</v>
      </c>
      <c r="R48" s="7">
        <f t="shared" si="8"/>
        <v>460</v>
      </c>
      <c r="S48" s="7">
        <f t="shared" si="8"/>
        <v>490</v>
      </c>
      <c r="T48" s="7">
        <f t="shared" si="8"/>
        <v>520</v>
      </c>
      <c r="U48" s="7">
        <f t="shared" si="8"/>
        <v>550</v>
      </c>
      <c r="V48" s="7">
        <f t="shared" si="8"/>
        <v>0</v>
      </c>
      <c r="W48" s="7">
        <f t="shared" si="8"/>
        <v>0</v>
      </c>
      <c r="X48" s="7">
        <f t="shared" si="8"/>
        <v>0</v>
      </c>
      <c r="Y48" s="7">
        <f t="shared" si="8"/>
        <v>0</v>
      </c>
      <c r="Z48" s="7">
        <f t="shared" si="8"/>
        <v>0</v>
      </c>
    </row>
    <row r="49" spans="2:26" x14ac:dyDescent="0.25">
      <c r="B49">
        <v>180</v>
      </c>
      <c r="D49" s="7">
        <f t="shared" ref="D49:Z49" si="9">(D$40-$B49/2)*IF(D14=0,0,1)</f>
        <v>0</v>
      </c>
      <c r="E49" s="7">
        <f t="shared" si="9"/>
        <v>0</v>
      </c>
      <c r="F49" s="7">
        <f t="shared" si="9"/>
        <v>0</v>
      </c>
      <c r="G49" s="7">
        <f t="shared" si="9"/>
        <v>0</v>
      </c>
      <c r="H49" s="7">
        <f t="shared" si="9"/>
        <v>0</v>
      </c>
      <c r="I49" s="7">
        <f t="shared" si="9"/>
        <v>180</v>
      </c>
      <c r="J49" s="7">
        <f t="shared" si="9"/>
        <v>210</v>
      </c>
      <c r="K49" s="7">
        <f t="shared" si="9"/>
        <v>240</v>
      </c>
      <c r="L49" s="7">
        <f t="shared" si="9"/>
        <v>270</v>
      </c>
      <c r="M49" s="7">
        <f t="shared" si="9"/>
        <v>300</v>
      </c>
      <c r="N49" s="7">
        <f t="shared" si="9"/>
        <v>330</v>
      </c>
      <c r="O49" s="7">
        <f t="shared" si="9"/>
        <v>360</v>
      </c>
      <c r="P49" s="7">
        <f t="shared" si="9"/>
        <v>390</v>
      </c>
      <c r="Q49" s="7">
        <f t="shared" si="9"/>
        <v>420</v>
      </c>
      <c r="R49" s="7">
        <f t="shared" si="9"/>
        <v>450</v>
      </c>
      <c r="S49" s="7">
        <f t="shared" si="9"/>
        <v>480</v>
      </c>
      <c r="T49" s="7">
        <f t="shared" si="9"/>
        <v>510</v>
      </c>
      <c r="U49" s="7">
        <f t="shared" si="9"/>
        <v>0</v>
      </c>
      <c r="V49" s="7">
        <f t="shared" si="9"/>
        <v>0</v>
      </c>
      <c r="W49" s="7">
        <f t="shared" si="9"/>
        <v>0</v>
      </c>
      <c r="X49" s="7">
        <f t="shared" si="9"/>
        <v>0</v>
      </c>
      <c r="Y49" s="7">
        <f t="shared" si="9"/>
        <v>0</v>
      </c>
      <c r="Z49" s="7">
        <f t="shared" si="9"/>
        <v>0</v>
      </c>
    </row>
    <row r="50" spans="2:26" x14ac:dyDescent="0.25">
      <c r="B50">
        <v>200</v>
      </c>
      <c r="D50" s="7">
        <f t="shared" ref="D50:Z50" si="10">(D$40-$B50/2)*IF(D15=0,0,1)</f>
        <v>0</v>
      </c>
      <c r="E50" s="7">
        <f t="shared" si="10"/>
        <v>0</v>
      </c>
      <c r="F50" s="7">
        <f t="shared" si="10"/>
        <v>0</v>
      </c>
      <c r="G50" s="7">
        <f t="shared" si="10"/>
        <v>0</v>
      </c>
      <c r="H50" s="7">
        <f t="shared" si="10"/>
        <v>0</v>
      </c>
      <c r="I50" s="7">
        <f t="shared" si="10"/>
        <v>170</v>
      </c>
      <c r="J50" s="7">
        <f t="shared" si="10"/>
        <v>200</v>
      </c>
      <c r="K50" s="7">
        <f t="shared" si="10"/>
        <v>230</v>
      </c>
      <c r="L50" s="7">
        <f t="shared" si="10"/>
        <v>260</v>
      </c>
      <c r="M50" s="7">
        <f t="shared" si="10"/>
        <v>290</v>
      </c>
      <c r="N50" s="7">
        <f t="shared" si="10"/>
        <v>320</v>
      </c>
      <c r="O50" s="7">
        <f t="shared" si="10"/>
        <v>350</v>
      </c>
      <c r="P50" s="7">
        <f t="shared" si="10"/>
        <v>380</v>
      </c>
      <c r="Q50" s="7">
        <f t="shared" si="10"/>
        <v>410</v>
      </c>
      <c r="R50" s="7">
        <f t="shared" si="10"/>
        <v>440</v>
      </c>
      <c r="S50" s="7">
        <f t="shared" si="10"/>
        <v>470</v>
      </c>
      <c r="T50" s="7">
        <f t="shared" si="10"/>
        <v>500</v>
      </c>
      <c r="U50" s="7">
        <f t="shared" si="10"/>
        <v>0</v>
      </c>
      <c r="V50" s="7">
        <f t="shared" si="10"/>
        <v>0</v>
      </c>
      <c r="W50" s="7">
        <f t="shared" si="10"/>
        <v>0</v>
      </c>
      <c r="X50" s="7">
        <f t="shared" si="10"/>
        <v>0</v>
      </c>
      <c r="Y50" s="7">
        <f t="shared" si="10"/>
        <v>0</v>
      </c>
      <c r="Z50" s="7">
        <f t="shared" si="10"/>
        <v>0</v>
      </c>
    </row>
    <row r="51" spans="2:26" x14ac:dyDescent="0.25">
      <c r="B51">
        <v>220</v>
      </c>
      <c r="D51" s="7">
        <f t="shared" ref="D51:Z51" si="11">(D$40-$B51/2)*IF(D16=0,0,1)</f>
        <v>0</v>
      </c>
      <c r="E51" s="7">
        <f t="shared" si="11"/>
        <v>0</v>
      </c>
      <c r="F51" s="7">
        <f t="shared" si="11"/>
        <v>0</v>
      </c>
      <c r="G51" s="7">
        <f t="shared" si="11"/>
        <v>0</v>
      </c>
      <c r="H51" s="7">
        <f t="shared" si="11"/>
        <v>0</v>
      </c>
      <c r="I51" s="7">
        <f t="shared" si="11"/>
        <v>160</v>
      </c>
      <c r="J51" s="7">
        <f t="shared" si="11"/>
        <v>190</v>
      </c>
      <c r="K51" s="7">
        <f t="shared" si="11"/>
        <v>220</v>
      </c>
      <c r="L51" s="7">
        <f t="shared" si="11"/>
        <v>250</v>
      </c>
      <c r="M51" s="7">
        <f t="shared" si="11"/>
        <v>280</v>
      </c>
      <c r="N51" s="7">
        <f t="shared" si="11"/>
        <v>310</v>
      </c>
      <c r="O51" s="7">
        <f t="shared" si="11"/>
        <v>340</v>
      </c>
      <c r="P51" s="7">
        <f t="shared" si="11"/>
        <v>370</v>
      </c>
      <c r="Q51" s="7">
        <f t="shared" si="11"/>
        <v>400</v>
      </c>
      <c r="R51" s="7">
        <f t="shared" si="11"/>
        <v>430</v>
      </c>
      <c r="S51" s="7">
        <f t="shared" si="11"/>
        <v>460</v>
      </c>
      <c r="T51" s="7">
        <f t="shared" si="11"/>
        <v>0</v>
      </c>
      <c r="U51" s="7">
        <f t="shared" si="11"/>
        <v>0</v>
      </c>
      <c r="V51" s="7">
        <f t="shared" si="11"/>
        <v>0</v>
      </c>
      <c r="W51" s="7">
        <f t="shared" si="11"/>
        <v>0</v>
      </c>
      <c r="X51" s="7">
        <f t="shared" si="11"/>
        <v>0</v>
      </c>
      <c r="Y51" s="7">
        <f t="shared" si="11"/>
        <v>0</v>
      </c>
      <c r="Z51" s="7">
        <f t="shared" si="11"/>
        <v>0</v>
      </c>
    </row>
    <row r="52" spans="2:26" x14ac:dyDescent="0.25">
      <c r="B52">
        <v>240</v>
      </c>
      <c r="D52" s="7">
        <f t="shared" ref="D52:Z52" si="12">(D$40-$B52/2)*IF(D17=0,0,1)</f>
        <v>0</v>
      </c>
      <c r="E52" s="7">
        <f t="shared" si="12"/>
        <v>0</v>
      </c>
      <c r="F52" s="7">
        <f t="shared" si="12"/>
        <v>0</v>
      </c>
      <c r="G52" s="7">
        <f t="shared" si="12"/>
        <v>0</v>
      </c>
      <c r="H52" s="7">
        <f t="shared" si="12"/>
        <v>0</v>
      </c>
      <c r="I52" s="7">
        <f t="shared" si="12"/>
        <v>0</v>
      </c>
      <c r="J52" s="7">
        <f t="shared" si="12"/>
        <v>180</v>
      </c>
      <c r="K52" s="7">
        <f t="shared" si="12"/>
        <v>210</v>
      </c>
      <c r="L52" s="7">
        <f t="shared" si="12"/>
        <v>240</v>
      </c>
      <c r="M52" s="7">
        <f t="shared" si="12"/>
        <v>270</v>
      </c>
      <c r="N52" s="7">
        <f t="shared" si="12"/>
        <v>300</v>
      </c>
      <c r="O52" s="7">
        <f t="shared" si="12"/>
        <v>330</v>
      </c>
      <c r="P52" s="7">
        <f t="shared" si="12"/>
        <v>360</v>
      </c>
      <c r="Q52" s="7">
        <f t="shared" si="12"/>
        <v>390</v>
      </c>
      <c r="R52" s="7">
        <f t="shared" si="12"/>
        <v>420</v>
      </c>
      <c r="S52" s="7">
        <f t="shared" si="12"/>
        <v>450</v>
      </c>
      <c r="T52" s="7">
        <f t="shared" si="12"/>
        <v>480</v>
      </c>
      <c r="U52" s="7">
        <f t="shared" si="12"/>
        <v>0</v>
      </c>
      <c r="V52" s="7">
        <f t="shared" si="12"/>
        <v>0</v>
      </c>
      <c r="W52" s="7">
        <f t="shared" si="12"/>
        <v>0</v>
      </c>
      <c r="X52" s="7">
        <f t="shared" si="12"/>
        <v>0</v>
      </c>
      <c r="Y52" s="7">
        <f t="shared" si="12"/>
        <v>0</v>
      </c>
      <c r="Z52" s="7">
        <f t="shared" si="12"/>
        <v>0</v>
      </c>
    </row>
    <row r="53" spans="2:26" x14ac:dyDescent="0.25">
      <c r="B53">
        <v>260</v>
      </c>
      <c r="D53" s="7">
        <f t="shared" ref="D53:Z53" si="13">(D$40-$B53/2)*IF(D18=0,0,1)</f>
        <v>0</v>
      </c>
      <c r="E53" s="7">
        <f t="shared" si="13"/>
        <v>0</v>
      </c>
      <c r="F53" s="7">
        <f t="shared" si="13"/>
        <v>0</v>
      </c>
      <c r="G53" s="7">
        <f t="shared" si="13"/>
        <v>0</v>
      </c>
      <c r="H53" s="7">
        <f t="shared" si="13"/>
        <v>0</v>
      </c>
      <c r="I53" s="7">
        <f t="shared" si="13"/>
        <v>0</v>
      </c>
      <c r="J53" s="7">
        <f t="shared" si="13"/>
        <v>170</v>
      </c>
      <c r="K53" s="7">
        <f t="shared" si="13"/>
        <v>200</v>
      </c>
      <c r="L53" s="7">
        <f t="shared" si="13"/>
        <v>230</v>
      </c>
      <c r="M53" s="7">
        <f t="shared" si="13"/>
        <v>260</v>
      </c>
      <c r="N53" s="7">
        <f t="shared" si="13"/>
        <v>290</v>
      </c>
      <c r="O53" s="7">
        <f t="shared" si="13"/>
        <v>320</v>
      </c>
      <c r="P53" s="7">
        <f t="shared" si="13"/>
        <v>350</v>
      </c>
      <c r="Q53" s="7">
        <f t="shared" si="13"/>
        <v>380</v>
      </c>
      <c r="R53" s="7">
        <f t="shared" si="13"/>
        <v>410</v>
      </c>
      <c r="S53" s="7">
        <f t="shared" si="13"/>
        <v>440</v>
      </c>
      <c r="T53" s="7">
        <f t="shared" si="13"/>
        <v>0</v>
      </c>
      <c r="U53" s="7">
        <f t="shared" si="13"/>
        <v>0</v>
      </c>
      <c r="V53" s="7">
        <f t="shared" si="13"/>
        <v>0</v>
      </c>
      <c r="W53" s="7">
        <f t="shared" si="13"/>
        <v>0</v>
      </c>
      <c r="X53" s="7">
        <f t="shared" si="13"/>
        <v>0</v>
      </c>
      <c r="Y53" s="7">
        <f t="shared" si="13"/>
        <v>0</v>
      </c>
      <c r="Z53" s="7">
        <f t="shared" si="13"/>
        <v>0</v>
      </c>
    </row>
    <row r="54" spans="2:26" x14ac:dyDescent="0.25">
      <c r="B54">
        <v>280</v>
      </c>
      <c r="D54" s="7">
        <f t="shared" ref="D54:Z54" si="14">(D$40-$B54/2)*IF(D19=0,0,1)</f>
        <v>0</v>
      </c>
      <c r="E54" s="7">
        <f t="shared" si="14"/>
        <v>0</v>
      </c>
      <c r="F54" s="7">
        <f t="shared" si="14"/>
        <v>0</v>
      </c>
      <c r="G54" s="7">
        <f t="shared" si="14"/>
        <v>0</v>
      </c>
      <c r="H54" s="7">
        <f t="shared" si="14"/>
        <v>0</v>
      </c>
      <c r="I54" s="7">
        <f t="shared" si="14"/>
        <v>0</v>
      </c>
      <c r="J54" s="7">
        <f t="shared" si="14"/>
        <v>160</v>
      </c>
      <c r="K54" s="7">
        <f t="shared" si="14"/>
        <v>190</v>
      </c>
      <c r="L54" s="7">
        <f t="shared" si="14"/>
        <v>220</v>
      </c>
      <c r="M54" s="7">
        <f t="shared" si="14"/>
        <v>250</v>
      </c>
      <c r="N54" s="7">
        <f t="shared" si="14"/>
        <v>280</v>
      </c>
      <c r="O54" s="7">
        <f t="shared" si="14"/>
        <v>310</v>
      </c>
      <c r="P54" s="7">
        <f t="shared" si="14"/>
        <v>340</v>
      </c>
      <c r="Q54" s="7">
        <f t="shared" si="14"/>
        <v>370</v>
      </c>
      <c r="R54" s="7">
        <f t="shared" si="14"/>
        <v>400</v>
      </c>
      <c r="S54" s="7">
        <f t="shared" si="14"/>
        <v>0</v>
      </c>
      <c r="T54" s="7">
        <f t="shared" si="14"/>
        <v>0</v>
      </c>
      <c r="U54" s="7">
        <f t="shared" si="14"/>
        <v>0</v>
      </c>
      <c r="V54" s="7">
        <f t="shared" si="14"/>
        <v>0</v>
      </c>
      <c r="W54" s="7">
        <f t="shared" si="14"/>
        <v>0</v>
      </c>
      <c r="X54" s="7">
        <f t="shared" si="14"/>
        <v>0</v>
      </c>
      <c r="Y54" s="7">
        <f t="shared" si="14"/>
        <v>0</v>
      </c>
      <c r="Z54" s="7">
        <f t="shared" si="14"/>
        <v>0</v>
      </c>
    </row>
    <row r="55" spans="2:26" x14ac:dyDescent="0.25">
      <c r="B55">
        <v>300</v>
      </c>
      <c r="D55" s="7">
        <f t="shared" ref="D55:Z55" si="15">(D$40-$B55/2)*IF(D20=0,0,1)</f>
        <v>0</v>
      </c>
      <c r="E55" s="7">
        <f t="shared" si="15"/>
        <v>0</v>
      </c>
      <c r="F55" s="7">
        <f t="shared" si="15"/>
        <v>0</v>
      </c>
      <c r="G55" s="7">
        <f t="shared" si="15"/>
        <v>0</v>
      </c>
      <c r="H55" s="7">
        <f t="shared" si="15"/>
        <v>0</v>
      </c>
      <c r="I55" s="7">
        <f t="shared" si="15"/>
        <v>0</v>
      </c>
      <c r="J55" s="7">
        <f t="shared" si="15"/>
        <v>150</v>
      </c>
      <c r="K55" s="7">
        <f t="shared" si="15"/>
        <v>180</v>
      </c>
      <c r="L55" s="7">
        <f t="shared" si="15"/>
        <v>210</v>
      </c>
      <c r="M55" s="7">
        <f t="shared" si="15"/>
        <v>240</v>
      </c>
      <c r="N55" s="7">
        <f t="shared" si="15"/>
        <v>270</v>
      </c>
      <c r="O55" s="7">
        <f t="shared" si="15"/>
        <v>300</v>
      </c>
      <c r="P55" s="7">
        <f t="shared" si="15"/>
        <v>330</v>
      </c>
      <c r="Q55" s="7">
        <f t="shared" si="15"/>
        <v>360</v>
      </c>
      <c r="R55" s="7">
        <f t="shared" si="15"/>
        <v>390</v>
      </c>
      <c r="S55" s="7">
        <f t="shared" si="15"/>
        <v>0</v>
      </c>
      <c r="T55" s="7">
        <f t="shared" si="15"/>
        <v>0</v>
      </c>
      <c r="U55" s="7">
        <f t="shared" si="15"/>
        <v>0</v>
      </c>
      <c r="V55" s="7">
        <f t="shared" si="15"/>
        <v>0</v>
      </c>
      <c r="W55" s="7">
        <f t="shared" si="15"/>
        <v>0</v>
      </c>
      <c r="X55" s="7">
        <f t="shared" si="15"/>
        <v>0</v>
      </c>
      <c r="Y55" s="7">
        <f t="shared" si="15"/>
        <v>0</v>
      </c>
      <c r="Z55" s="7">
        <f t="shared" si="15"/>
        <v>0</v>
      </c>
    </row>
    <row r="56" spans="2:26" x14ac:dyDescent="0.25">
      <c r="B56">
        <v>320</v>
      </c>
      <c r="D56" s="7">
        <f t="shared" ref="D56:Z56" si="16">(D$40-$B56/2)*IF(D21=0,0,1)</f>
        <v>0</v>
      </c>
      <c r="E56" s="7">
        <f t="shared" si="16"/>
        <v>0</v>
      </c>
      <c r="F56" s="7">
        <f t="shared" si="16"/>
        <v>0</v>
      </c>
      <c r="G56" s="7">
        <f t="shared" si="16"/>
        <v>0</v>
      </c>
      <c r="H56" s="7">
        <f t="shared" si="16"/>
        <v>0</v>
      </c>
      <c r="I56" s="7">
        <f t="shared" si="16"/>
        <v>0</v>
      </c>
      <c r="J56" s="7">
        <f t="shared" si="16"/>
        <v>0</v>
      </c>
      <c r="K56" s="7">
        <f t="shared" si="16"/>
        <v>170</v>
      </c>
      <c r="L56" s="7">
        <f t="shared" si="16"/>
        <v>200</v>
      </c>
      <c r="M56" s="7">
        <f t="shared" si="16"/>
        <v>230</v>
      </c>
      <c r="N56" s="7">
        <f t="shared" si="16"/>
        <v>260</v>
      </c>
      <c r="O56" s="7">
        <f t="shared" si="16"/>
        <v>290</v>
      </c>
      <c r="P56" s="7">
        <f t="shared" si="16"/>
        <v>320</v>
      </c>
      <c r="Q56" s="7">
        <f t="shared" si="16"/>
        <v>350</v>
      </c>
      <c r="R56" s="7">
        <f t="shared" si="16"/>
        <v>380</v>
      </c>
      <c r="S56" s="7">
        <f t="shared" si="16"/>
        <v>0</v>
      </c>
      <c r="T56" s="7">
        <f t="shared" si="16"/>
        <v>0</v>
      </c>
      <c r="U56" s="7">
        <f t="shared" si="16"/>
        <v>0</v>
      </c>
      <c r="V56" s="7">
        <f t="shared" si="16"/>
        <v>0</v>
      </c>
      <c r="W56" s="7">
        <f t="shared" si="16"/>
        <v>0</v>
      </c>
      <c r="X56" s="7">
        <f t="shared" si="16"/>
        <v>0</v>
      </c>
      <c r="Y56" s="7">
        <f t="shared" si="16"/>
        <v>0</v>
      </c>
      <c r="Z56" s="7">
        <f t="shared" si="16"/>
        <v>0</v>
      </c>
    </row>
    <row r="57" spans="2:26" x14ac:dyDescent="0.25">
      <c r="B57">
        <v>340</v>
      </c>
      <c r="D57" s="7">
        <f t="shared" ref="D57:Z57" si="17">(D$40-$B57/2)*IF(D22=0,0,1)</f>
        <v>0</v>
      </c>
      <c r="E57" s="7">
        <f t="shared" si="17"/>
        <v>0</v>
      </c>
      <c r="F57" s="7">
        <f t="shared" si="17"/>
        <v>0</v>
      </c>
      <c r="G57" s="7">
        <f t="shared" si="17"/>
        <v>0</v>
      </c>
      <c r="H57" s="7">
        <f t="shared" si="17"/>
        <v>0</v>
      </c>
      <c r="I57" s="7">
        <f t="shared" si="17"/>
        <v>0</v>
      </c>
      <c r="J57" s="7">
        <f t="shared" si="17"/>
        <v>0</v>
      </c>
      <c r="K57" s="7">
        <f t="shared" si="17"/>
        <v>160</v>
      </c>
      <c r="L57" s="7">
        <f t="shared" si="17"/>
        <v>190</v>
      </c>
      <c r="M57" s="7">
        <f t="shared" si="17"/>
        <v>220</v>
      </c>
      <c r="N57" s="7">
        <f t="shared" si="17"/>
        <v>250</v>
      </c>
      <c r="O57" s="7">
        <f t="shared" si="17"/>
        <v>280</v>
      </c>
      <c r="P57" s="7">
        <f t="shared" si="17"/>
        <v>310</v>
      </c>
      <c r="Q57" s="7">
        <f t="shared" si="17"/>
        <v>340</v>
      </c>
      <c r="R57" s="7">
        <f t="shared" si="17"/>
        <v>370</v>
      </c>
      <c r="S57" s="7">
        <f t="shared" si="17"/>
        <v>0</v>
      </c>
      <c r="T57" s="7">
        <f t="shared" si="17"/>
        <v>0</v>
      </c>
      <c r="U57" s="7">
        <f t="shared" si="17"/>
        <v>0</v>
      </c>
      <c r="V57" s="7">
        <f t="shared" si="17"/>
        <v>0</v>
      </c>
      <c r="W57" s="7">
        <f t="shared" si="17"/>
        <v>0</v>
      </c>
      <c r="X57" s="7">
        <f t="shared" si="17"/>
        <v>0</v>
      </c>
      <c r="Y57" s="7">
        <f t="shared" si="17"/>
        <v>0</v>
      </c>
      <c r="Z57" s="7">
        <f t="shared" si="17"/>
        <v>0</v>
      </c>
    </row>
    <row r="58" spans="2:26" x14ac:dyDescent="0.25">
      <c r="B58">
        <v>360</v>
      </c>
      <c r="D58" s="7">
        <f t="shared" ref="D58:Z58" si="18">(D$40-$B58/2)*IF(D23=0,0,1)</f>
        <v>0</v>
      </c>
      <c r="E58" s="7">
        <f t="shared" si="18"/>
        <v>0</v>
      </c>
      <c r="F58" s="7">
        <f t="shared" si="18"/>
        <v>0</v>
      </c>
      <c r="G58" s="7">
        <f t="shared" si="18"/>
        <v>0</v>
      </c>
      <c r="H58" s="7">
        <f t="shared" si="18"/>
        <v>0</v>
      </c>
      <c r="I58" s="7">
        <f t="shared" si="18"/>
        <v>0</v>
      </c>
      <c r="J58" s="7">
        <f t="shared" si="18"/>
        <v>0</v>
      </c>
      <c r="K58" s="7">
        <f t="shared" si="18"/>
        <v>150</v>
      </c>
      <c r="L58" s="7">
        <f t="shared" si="18"/>
        <v>180</v>
      </c>
      <c r="M58" s="7">
        <f t="shared" si="18"/>
        <v>210</v>
      </c>
      <c r="N58" s="7">
        <f t="shared" si="18"/>
        <v>240</v>
      </c>
      <c r="O58" s="7">
        <f t="shared" si="18"/>
        <v>270</v>
      </c>
      <c r="P58" s="7">
        <f t="shared" si="18"/>
        <v>300</v>
      </c>
      <c r="Q58" s="7">
        <f t="shared" si="18"/>
        <v>330</v>
      </c>
      <c r="R58" s="7">
        <f t="shared" si="18"/>
        <v>0</v>
      </c>
      <c r="S58" s="7">
        <f t="shared" si="18"/>
        <v>0</v>
      </c>
      <c r="T58" s="7">
        <f t="shared" si="18"/>
        <v>0</v>
      </c>
      <c r="U58" s="7">
        <f t="shared" si="18"/>
        <v>0</v>
      </c>
      <c r="V58" s="7">
        <f t="shared" si="18"/>
        <v>0</v>
      </c>
      <c r="W58" s="7">
        <f t="shared" si="18"/>
        <v>0</v>
      </c>
      <c r="X58" s="7">
        <f t="shared" si="18"/>
        <v>0</v>
      </c>
      <c r="Y58" s="7">
        <f t="shared" si="18"/>
        <v>0</v>
      </c>
      <c r="Z58" s="7">
        <f t="shared" si="18"/>
        <v>0</v>
      </c>
    </row>
    <row r="59" spans="2:26" x14ac:dyDescent="0.25">
      <c r="B59">
        <v>380</v>
      </c>
      <c r="D59" s="7">
        <f t="shared" ref="D59:Z59" si="19">(D$40-$B59/2)*IF(D24=0,0,1)</f>
        <v>0</v>
      </c>
      <c r="E59" s="7">
        <f t="shared" si="19"/>
        <v>0</v>
      </c>
      <c r="F59" s="7">
        <f t="shared" si="19"/>
        <v>0</v>
      </c>
      <c r="G59" s="7">
        <f t="shared" si="19"/>
        <v>0</v>
      </c>
      <c r="H59" s="7">
        <f t="shared" si="19"/>
        <v>0</v>
      </c>
      <c r="I59" s="7">
        <f t="shared" si="19"/>
        <v>0</v>
      </c>
      <c r="J59" s="7">
        <f t="shared" si="19"/>
        <v>0</v>
      </c>
      <c r="K59" s="7">
        <f t="shared" si="19"/>
        <v>140</v>
      </c>
      <c r="L59" s="7">
        <f t="shared" si="19"/>
        <v>170</v>
      </c>
      <c r="M59" s="7">
        <f t="shared" si="19"/>
        <v>200</v>
      </c>
      <c r="N59" s="7">
        <f t="shared" si="19"/>
        <v>230</v>
      </c>
      <c r="O59" s="7">
        <f t="shared" si="19"/>
        <v>260</v>
      </c>
      <c r="P59" s="7">
        <f t="shared" si="19"/>
        <v>290</v>
      </c>
      <c r="Q59" s="7">
        <f t="shared" si="19"/>
        <v>320</v>
      </c>
      <c r="R59" s="7">
        <f t="shared" si="19"/>
        <v>0</v>
      </c>
      <c r="S59" s="7">
        <f t="shared" si="19"/>
        <v>0</v>
      </c>
      <c r="T59" s="7">
        <f t="shared" si="19"/>
        <v>0</v>
      </c>
      <c r="U59" s="7">
        <f t="shared" si="19"/>
        <v>0</v>
      </c>
      <c r="V59" s="7">
        <f t="shared" si="19"/>
        <v>0</v>
      </c>
      <c r="W59" s="7">
        <f t="shared" si="19"/>
        <v>0</v>
      </c>
      <c r="X59" s="7">
        <f t="shared" si="19"/>
        <v>0</v>
      </c>
      <c r="Y59" s="7">
        <f t="shared" si="19"/>
        <v>0</v>
      </c>
      <c r="Z59" s="7">
        <f t="shared" si="19"/>
        <v>0</v>
      </c>
    </row>
    <row r="60" spans="2:26" x14ac:dyDescent="0.25">
      <c r="B60">
        <v>400</v>
      </c>
      <c r="D60" s="7">
        <f t="shared" ref="D60:Z60" si="20">(D$40-$B60/2)*IF(D25=0,0,1)</f>
        <v>0</v>
      </c>
      <c r="E60" s="7">
        <f t="shared" si="20"/>
        <v>0</v>
      </c>
      <c r="F60" s="7">
        <f t="shared" si="20"/>
        <v>0</v>
      </c>
      <c r="G60" s="7">
        <f t="shared" si="20"/>
        <v>0</v>
      </c>
      <c r="H60" s="7">
        <f t="shared" si="20"/>
        <v>0</v>
      </c>
      <c r="I60" s="7">
        <f t="shared" si="20"/>
        <v>0</v>
      </c>
      <c r="J60" s="7">
        <f t="shared" si="20"/>
        <v>0</v>
      </c>
      <c r="K60" s="7">
        <f t="shared" si="20"/>
        <v>0</v>
      </c>
      <c r="L60" s="7">
        <f t="shared" si="20"/>
        <v>160</v>
      </c>
      <c r="M60" s="7">
        <f t="shared" si="20"/>
        <v>190</v>
      </c>
      <c r="N60" s="7">
        <f t="shared" si="20"/>
        <v>220</v>
      </c>
      <c r="O60" s="7">
        <f t="shared" si="20"/>
        <v>250</v>
      </c>
      <c r="P60" s="7">
        <f t="shared" si="20"/>
        <v>280</v>
      </c>
      <c r="Q60" s="7">
        <f t="shared" si="20"/>
        <v>0</v>
      </c>
      <c r="R60" s="7">
        <f t="shared" si="20"/>
        <v>0</v>
      </c>
      <c r="S60" s="7">
        <f t="shared" si="20"/>
        <v>0</v>
      </c>
      <c r="T60" s="7">
        <f t="shared" si="20"/>
        <v>0</v>
      </c>
      <c r="U60" s="7">
        <f t="shared" si="20"/>
        <v>0</v>
      </c>
      <c r="V60" s="7">
        <f t="shared" si="20"/>
        <v>0</v>
      </c>
      <c r="W60" s="7">
        <f t="shared" si="20"/>
        <v>0</v>
      </c>
      <c r="X60" s="7">
        <f t="shared" si="20"/>
        <v>0</v>
      </c>
      <c r="Y60" s="7">
        <f t="shared" si="20"/>
        <v>0</v>
      </c>
      <c r="Z60" s="7">
        <f t="shared" si="20"/>
        <v>0</v>
      </c>
    </row>
    <row r="61" spans="2:26" x14ac:dyDescent="0.25">
      <c r="B61">
        <v>420</v>
      </c>
      <c r="D61" s="7">
        <f t="shared" ref="D61:Z61" si="21">(D$40-$B61/2)*IF(D26=0,0,1)</f>
        <v>0</v>
      </c>
      <c r="E61" s="7">
        <f t="shared" si="21"/>
        <v>0</v>
      </c>
      <c r="F61" s="7">
        <f t="shared" si="21"/>
        <v>0</v>
      </c>
      <c r="G61" s="7">
        <f t="shared" si="21"/>
        <v>0</v>
      </c>
      <c r="H61" s="7">
        <f t="shared" si="21"/>
        <v>0</v>
      </c>
      <c r="I61" s="7">
        <f t="shared" si="21"/>
        <v>0</v>
      </c>
      <c r="J61" s="7">
        <f t="shared" si="21"/>
        <v>0</v>
      </c>
      <c r="K61" s="7">
        <f t="shared" si="21"/>
        <v>0</v>
      </c>
      <c r="L61" s="7">
        <f t="shared" si="21"/>
        <v>150</v>
      </c>
      <c r="M61" s="7">
        <f t="shared" si="21"/>
        <v>180</v>
      </c>
      <c r="N61" s="7">
        <f t="shared" si="21"/>
        <v>210</v>
      </c>
      <c r="O61" s="7">
        <f t="shared" si="21"/>
        <v>240</v>
      </c>
      <c r="P61" s="7">
        <f t="shared" si="21"/>
        <v>270</v>
      </c>
      <c r="Q61" s="7">
        <f t="shared" si="21"/>
        <v>0</v>
      </c>
      <c r="R61" s="7">
        <f t="shared" si="21"/>
        <v>0</v>
      </c>
      <c r="S61" s="7">
        <f t="shared" si="21"/>
        <v>0</v>
      </c>
      <c r="T61" s="7">
        <f t="shared" si="21"/>
        <v>0</v>
      </c>
      <c r="U61" s="7">
        <f t="shared" si="21"/>
        <v>0</v>
      </c>
      <c r="V61" s="7">
        <f t="shared" si="21"/>
        <v>0</v>
      </c>
      <c r="W61" s="7">
        <f t="shared" si="21"/>
        <v>0</v>
      </c>
      <c r="X61" s="7">
        <f t="shared" si="21"/>
        <v>0</v>
      </c>
      <c r="Y61" s="7">
        <f t="shared" si="21"/>
        <v>0</v>
      </c>
      <c r="Z61" s="7">
        <f t="shared" si="21"/>
        <v>0</v>
      </c>
    </row>
    <row r="62" spans="2:26" x14ac:dyDescent="0.25">
      <c r="B62">
        <v>440</v>
      </c>
      <c r="D62" s="7">
        <f t="shared" ref="D62:Z62" si="22">(D$40-$B62/2)*IF(D27=0,0,1)</f>
        <v>0</v>
      </c>
      <c r="E62" s="7">
        <f t="shared" si="22"/>
        <v>0</v>
      </c>
      <c r="F62" s="7">
        <f t="shared" si="22"/>
        <v>0</v>
      </c>
      <c r="G62" s="7">
        <f t="shared" si="22"/>
        <v>0</v>
      </c>
      <c r="H62" s="7">
        <f t="shared" si="22"/>
        <v>0</v>
      </c>
      <c r="I62" s="7">
        <f t="shared" si="22"/>
        <v>0</v>
      </c>
      <c r="J62" s="7">
        <f t="shared" si="22"/>
        <v>0</v>
      </c>
      <c r="K62" s="7">
        <f t="shared" si="22"/>
        <v>0</v>
      </c>
      <c r="L62" s="7">
        <f t="shared" si="22"/>
        <v>0</v>
      </c>
      <c r="M62" s="7">
        <f t="shared" si="22"/>
        <v>170</v>
      </c>
      <c r="N62" s="7">
        <f t="shared" si="22"/>
        <v>200</v>
      </c>
      <c r="O62" s="7">
        <f t="shared" si="22"/>
        <v>230</v>
      </c>
      <c r="P62" s="7">
        <f t="shared" si="22"/>
        <v>260</v>
      </c>
      <c r="Q62" s="7">
        <f t="shared" si="22"/>
        <v>0</v>
      </c>
      <c r="R62" s="7">
        <f t="shared" si="22"/>
        <v>0</v>
      </c>
      <c r="S62" s="7">
        <f t="shared" si="22"/>
        <v>0</v>
      </c>
      <c r="T62" s="7">
        <f t="shared" si="22"/>
        <v>0</v>
      </c>
      <c r="U62" s="7">
        <f t="shared" si="22"/>
        <v>0</v>
      </c>
      <c r="V62" s="7">
        <f t="shared" si="22"/>
        <v>0</v>
      </c>
      <c r="W62" s="7">
        <f t="shared" si="22"/>
        <v>0</v>
      </c>
      <c r="X62" s="7">
        <f t="shared" si="22"/>
        <v>0</v>
      </c>
      <c r="Y62" s="7">
        <f t="shared" si="22"/>
        <v>0</v>
      </c>
      <c r="Z62" s="7">
        <f t="shared" si="22"/>
        <v>0</v>
      </c>
    </row>
    <row r="63" spans="2:26" x14ac:dyDescent="0.25">
      <c r="B63">
        <v>460</v>
      </c>
      <c r="D63" s="7">
        <f t="shared" ref="D63:Z63" si="23">(D$40-$B63/2)*IF(D28=0,0,1)</f>
        <v>0</v>
      </c>
      <c r="E63" s="7">
        <f t="shared" si="23"/>
        <v>0</v>
      </c>
      <c r="F63" s="7">
        <f t="shared" si="23"/>
        <v>0</v>
      </c>
      <c r="G63" s="7">
        <f t="shared" si="23"/>
        <v>0</v>
      </c>
      <c r="H63" s="7">
        <f t="shared" si="23"/>
        <v>0</v>
      </c>
      <c r="I63" s="7">
        <f t="shared" si="23"/>
        <v>0</v>
      </c>
      <c r="J63" s="7">
        <f t="shared" si="23"/>
        <v>0</v>
      </c>
      <c r="K63" s="7">
        <f t="shared" si="23"/>
        <v>0</v>
      </c>
      <c r="L63" s="7">
        <f t="shared" si="23"/>
        <v>0</v>
      </c>
      <c r="M63" s="7">
        <f t="shared" si="23"/>
        <v>160</v>
      </c>
      <c r="N63" s="7">
        <f t="shared" si="23"/>
        <v>190</v>
      </c>
      <c r="O63" s="7">
        <f t="shared" si="23"/>
        <v>220</v>
      </c>
      <c r="P63" s="7">
        <f t="shared" si="23"/>
        <v>250</v>
      </c>
      <c r="Q63" s="7">
        <f t="shared" si="23"/>
        <v>280</v>
      </c>
      <c r="R63" s="7">
        <f t="shared" si="23"/>
        <v>0</v>
      </c>
      <c r="S63" s="7">
        <f t="shared" si="23"/>
        <v>0</v>
      </c>
      <c r="T63" s="7">
        <f t="shared" si="23"/>
        <v>0</v>
      </c>
      <c r="U63" s="7">
        <f t="shared" si="23"/>
        <v>0</v>
      </c>
      <c r="V63" s="7">
        <f t="shared" si="23"/>
        <v>0</v>
      </c>
      <c r="W63" s="7">
        <f t="shared" si="23"/>
        <v>0</v>
      </c>
      <c r="X63" s="7">
        <f t="shared" si="23"/>
        <v>0</v>
      </c>
      <c r="Y63" s="7">
        <f t="shared" si="23"/>
        <v>0</v>
      </c>
      <c r="Z63" s="7">
        <f t="shared" si="23"/>
        <v>0</v>
      </c>
    </row>
    <row r="64" spans="2:26" x14ac:dyDescent="0.25">
      <c r="B64">
        <v>480</v>
      </c>
      <c r="D64" s="7">
        <f t="shared" ref="D64:Z64" si="24">(D$40-$B64/2)*IF(D29=0,0,1)</f>
        <v>0</v>
      </c>
      <c r="E64" s="7">
        <f t="shared" si="24"/>
        <v>0</v>
      </c>
      <c r="F64" s="7">
        <f t="shared" si="24"/>
        <v>0</v>
      </c>
      <c r="G64" s="7">
        <f t="shared" si="24"/>
        <v>0</v>
      </c>
      <c r="H64" s="7">
        <f t="shared" si="24"/>
        <v>0</v>
      </c>
      <c r="I64" s="7">
        <f t="shared" si="24"/>
        <v>0</v>
      </c>
      <c r="J64" s="7">
        <f t="shared" si="24"/>
        <v>0</v>
      </c>
      <c r="K64" s="7">
        <f t="shared" si="24"/>
        <v>0</v>
      </c>
      <c r="L64" s="7">
        <f t="shared" si="24"/>
        <v>0</v>
      </c>
      <c r="M64" s="7">
        <f t="shared" si="24"/>
        <v>150</v>
      </c>
      <c r="N64" s="7">
        <f t="shared" si="24"/>
        <v>180</v>
      </c>
      <c r="O64" s="7">
        <f t="shared" si="24"/>
        <v>210</v>
      </c>
      <c r="P64" s="7">
        <f t="shared" si="24"/>
        <v>0</v>
      </c>
      <c r="Q64" s="7">
        <f t="shared" si="24"/>
        <v>0</v>
      </c>
      <c r="R64" s="7">
        <f t="shared" si="24"/>
        <v>0</v>
      </c>
      <c r="S64" s="7">
        <f t="shared" si="24"/>
        <v>0</v>
      </c>
      <c r="T64" s="7">
        <f t="shared" si="24"/>
        <v>0</v>
      </c>
      <c r="U64" s="7">
        <f t="shared" si="24"/>
        <v>0</v>
      </c>
      <c r="V64" s="7">
        <f t="shared" si="24"/>
        <v>0</v>
      </c>
      <c r="W64" s="7">
        <f t="shared" si="24"/>
        <v>0</v>
      </c>
      <c r="X64" s="7">
        <f t="shared" si="24"/>
        <v>0</v>
      </c>
      <c r="Y64" s="7">
        <f t="shared" si="24"/>
        <v>0</v>
      </c>
      <c r="Z64" s="7">
        <f t="shared" si="24"/>
        <v>0</v>
      </c>
    </row>
    <row r="65" spans="2:26" x14ac:dyDescent="0.25">
      <c r="B65">
        <v>500</v>
      </c>
      <c r="D65" s="7">
        <f t="shared" ref="D65:Z65" si="25">(D$40-$B65/2)*IF(D30=0,0,1)</f>
        <v>0</v>
      </c>
      <c r="E65" s="7">
        <f t="shared" si="25"/>
        <v>0</v>
      </c>
      <c r="F65" s="7">
        <f t="shared" si="25"/>
        <v>0</v>
      </c>
      <c r="G65" s="7">
        <f t="shared" si="25"/>
        <v>0</v>
      </c>
      <c r="H65" s="7">
        <f t="shared" si="25"/>
        <v>0</v>
      </c>
      <c r="I65" s="7">
        <f t="shared" si="25"/>
        <v>0</v>
      </c>
      <c r="J65" s="7">
        <f t="shared" si="25"/>
        <v>0</v>
      </c>
      <c r="K65" s="7">
        <f t="shared" si="25"/>
        <v>0</v>
      </c>
      <c r="L65" s="7">
        <f t="shared" si="25"/>
        <v>0</v>
      </c>
      <c r="M65" s="7">
        <f t="shared" si="25"/>
        <v>140</v>
      </c>
      <c r="N65" s="7">
        <f t="shared" si="25"/>
        <v>170</v>
      </c>
      <c r="O65" s="7">
        <f t="shared" si="25"/>
        <v>200</v>
      </c>
      <c r="P65" s="7">
        <f t="shared" si="25"/>
        <v>0</v>
      </c>
      <c r="Q65" s="7">
        <f t="shared" si="25"/>
        <v>0</v>
      </c>
      <c r="R65" s="7">
        <f t="shared" si="25"/>
        <v>0</v>
      </c>
      <c r="S65" s="7">
        <f t="shared" si="25"/>
        <v>0</v>
      </c>
      <c r="T65" s="7">
        <f t="shared" si="25"/>
        <v>0</v>
      </c>
      <c r="U65" s="7">
        <f t="shared" si="25"/>
        <v>0</v>
      </c>
      <c r="V65" s="7">
        <f t="shared" si="25"/>
        <v>0</v>
      </c>
      <c r="W65" s="7">
        <f t="shared" si="25"/>
        <v>0</v>
      </c>
      <c r="X65" s="7">
        <f t="shared" si="25"/>
        <v>0</v>
      </c>
      <c r="Y65" s="7">
        <f t="shared" si="25"/>
        <v>0</v>
      </c>
      <c r="Z65" s="7">
        <f t="shared" si="25"/>
        <v>0</v>
      </c>
    </row>
    <row r="66" spans="2:26" x14ac:dyDescent="0.25">
      <c r="B66">
        <v>520</v>
      </c>
      <c r="D66" s="7">
        <f t="shared" ref="D66:Z66" si="26">(D$40-$B66/2)*IF(D31=0,0,1)</f>
        <v>0</v>
      </c>
      <c r="E66" s="7">
        <f t="shared" si="26"/>
        <v>0</v>
      </c>
      <c r="F66" s="7">
        <f t="shared" si="26"/>
        <v>0</v>
      </c>
      <c r="G66" s="7">
        <f t="shared" si="26"/>
        <v>0</v>
      </c>
      <c r="H66" s="7">
        <f t="shared" si="26"/>
        <v>0</v>
      </c>
      <c r="I66" s="7">
        <f t="shared" si="26"/>
        <v>0</v>
      </c>
      <c r="J66" s="7">
        <f t="shared" si="26"/>
        <v>0</v>
      </c>
      <c r="K66" s="7">
        <f t="shared" si="26"/>
        <v>0</v>
      </c>
      <c r="L66" s="7">
        <f t="shared" si="26"/>
        <v>0</v>
      </c>
      <c r="M66" s="7">
        <f t="shared" si="26"/>
        <v>0</v>
      </c>
      <c r="N66" s="7">
        <f t="shared" si="26"/>
        <v>160</v>
      </c>
      <c r="O66" s="7">
        <f t="shared" si="26"/>
        <v>190</v>
      </c>
      <c r="P66" s="7">
        <f t="shared" si="26"/>
        <v>0</v>
      </c>
      <c r="Q66" s="7">
        <f t="shared" si="26"/>
        <v>0</v>
      </c>
      <c r="R66" s="7">
        <f t="shared" si="26"/>
        <v>0</v>
      </c>
      <c r="S66" s="7">
        <f t="shared" si="26"/>
        <v>0</v>
      </c>
      <c r="T66" s="7">
        <f t="shared" si="26"/>
        <v>0</v>
      </c>
      <c r="U66" s="7">
        <f t="shared" si="26"/>
        <v>0</v>
      </c>
      <c r="V66" s="7">
        <f t="shared" si="26"/>
        <v>0</v>
      </c>
      <c r="W66" s="7">
        <f t="shared" si="26"/>
        <v>0</v>
      </c>
      <c r="X66" s="7">
        <f t="shared" si="26"/>
        <v>0</v>
      </c>
      <c r="Y66" s="7">
        <f t="shared" si="26"/>
        <v>0</v>
      </c>
      <c r="Z66" s="7">
        <f t="shared" si="26"/>
        <v>0</v>
      </c>
    </row>
    <row r="67" spans="2:26" x14ac:dyDescent="0.25">
      <c r="B67">
        <v>540</v>
      </c>
      <c r="D67" s="7">
        <f t="shared" ref="D67:Z67" si="27">(D$40-$B67/2)*IF(D32=0,0,1)</f>
        <v>0</v>
      </c>
      <c r="E67" s="7">
        <f t="shared" si="27"/>
        <v>0</v>
      </c>
      <c r="F67" s="7">
        <f t="shared" si="27"/>
        <v>0</v>
      </c>
      <c r="G67" s="7">
        <f t="shared" si="27"/>
        <v>0</v>
      </c>
      <c r="H67" s="7">
        <f t="shared" si="27"/>
        <v>0</v>
      </c>
      <c r="I67" s="7">
        <f t="shared" si="27"/>
        <v>0</v>
      </c>
      <c r="J67" s="7">
        <f t="shared" si="27"/>
        <v>0</v>
      </c>
      <c r="K67" s="7">
        <f t="shared" si="27"/>
        <v>0</v>
      </c>
      <c r="L67" s="7">
        <f t="shared" si="27"/>
        <v>0</v>
      </c>
      <c r="M67" s="7">
        <f t="shared" si="27"/>
        <v>0</v>
      </c>
      <c r="N67" s="7">
        <f t="shared" si="27"/>
        <v>150</v>
      </c>
      <c r="O67" s="7">
        <f t="shared" si="27"/>
        <v>180</v>
      </c>
      <c r="P67" s="7">
        <f t="shared" si="27"/>
        <v>0</v>
      </c>
      <c r="Q67" s="7">
        <f t="shared" si="27"/>
        <v>0</v>
      </c>
      <c r="R67" s="7">
        <f t="shared" si="27"/>
        <v>0</v>
      </c>
      <c r="S67" s="7">
        <f t="shared" si="27"/>
        <v>0</v>
      </c>
      <c r="T67" s="7">
        <f t="shared" si="27"/>
        <v>0</v>
      </c>
      <c r="U67" s="7">
        <f t="shared" si="27"/>
        <v>0</v>
      </c>
      <c r="V67" s="7">
        <f t="shared" si="27"/>
        <v>0</v>
      </c>
      <c r="W67" s="7">
        <f t="shared" si="27"/>
        <v>0</v>
      </c>
      <c r="X67" s="7">
        <f t="shared" si="27"/>
        <v>0</v>
      </c>
      <c r="Y67" s="7">
        <f t="shared" si="27"/>
        <v>0</v>
      </c>
      <c r="Z67" s="7">
        <f t="shared" si="27"/>
        <v>0</v>
      </c>
    </row>
    <row r="68" spans="2:26" x14ac:dyDescent="0.25">
      <c r="B68">
        <v>560</v>
      </c>
      <c r="D68" s="7">
        <f t="shared" ref="D68:Z68" si="28">(D$40-$B68/2)*IF(D33=0,0,1)</f>
        <v>0</v>
      </c>
      <c r="E68" s="7">
        <f t="shared" si="28"/>
        <v>0</v>
      </c>
      <c r="F68" s="7">
        <f t="shared" si="28"/>
        <v>0</v>
      </c>
      <c r="G68" s="7">
        <f t="shared" si="28"/>
        <v>0</v>
      </c>
      <c r="H68" s="7">
        <f t="shared" si="28"/>
        <v>0</v>
      </c>
      <c r="I68" s="7">
        <f t="shared" si="28"/>
        <v>0</v>
      </c>
      <c r="J68" s="7">
        <f t="shared" si="28"/>
        <v>0</v>
      </c>
      <c r="K68" s="7">
        <f t="shared" si="28"/>
        <v>0</v>
      </c>
      <c r="L68" s="7">
        <f t="shared" si="28"/>
        <v>0</v>
      </c>
      <c r="M68" s="7">
        <f t="shared" si="28"/>
        <v>0</v>
      </c>
      <c r="N68" s="7">
        <f t="shared" si="28"/>
        <v>140</v>
      </c>
      <c r="O68" s="7">
        <f t="shared" si="28"/>
        <v>170</v>
      </c>
      <c r="P68" s="7">
        <f t="shared" si="28"/>
        <v>0</v>
      </c>
      <c r="Q68" s="7">
        <f t="shared" si="28"/>
        <v>0</v>
      </c>
      <c r="R68" s="7">
        <f t="shared" si="28"/>
        <v>0</v>
      </c>
      <c r="S68" s="7">
        <f t="shared" si="28"/>
        <v>0</v>
      </c>
      <c r="T68" s="7">
        <f t="shared" si="28"/>
        <v>0</v>
      </c>
      <c r="U68" s="7">
        <f t="shared" si="28"/>
        <v>0</v>
      </c>
      <c r="V68" s="7">
        <f t="shared" si="28"/>
        <v>0</v>
      </c>
      <c r="W68" s="7">
        <f t="shared" si="28"/>
        <v>0</v>
      </c>
      <c r="X68" s="7">
        <f t="shared" si="28"/>
        <v>0</v>
      </c>
      <c r="Y68" s="7">
        <f t="shared" si="28"/>
        <v>0</v>
      </c>
      <c r="Z68" s="7">
        <f t="shared" si="28"/>
        <v>0</v>
      </c>
    </row>
    <row r="69" spans="2:26" x14ac:dyDescent="0.25">
      <c r="B69">
        <v>580</v>
      </c>
      <c r="D69" s="7">
        <f t="shared" ref="D69:Z69" si="29">(D$40-$B69/2)*IF(D34=0,0,1)</f>
        <v>0</v>
      </c>
      <c r="E69" s="7">
        <f t="shared" si="29"/>
        <v>0</v>
      </c>
      <c r="F69" s="7">
        <f t="shared" si="29"/>
        <v>0</v>
      </c>
      <c r="G69" s="7">
        <f t="shared" si="29"/>
        <v>0</v>
      </c>
      <c r="H69" s="7">
        <f t="shared" si="29"/>
        <v>0</v>
      </c>
      <c r="I69" s="7">
        <f t="shared" si="29"/>
        <v>0</v>
      </c>
      <c r="J69" s="7">
        <f t="shared" si="29"/>
        <v>0</v>
      </c>
      <c r="K69" s="7">
        <f t="shared" si="29"/>
        <v>0</v>
      </c>
      <c r="L69" s="7">
        <f t="shared" si="29"/>
        <v>0</v>
      </c>
      <c r="M69" s="7">
        <f t="shared" si="29"/>
        <v>0</v>
      </c>
      <c r="N69" s="7">
        <f t="shared" si="29"/>
        <v>130</v>
      </c>
      <c r="O69" s="7">
        <f t="shared" si="29"/>
        <v>160</v>
      </c>
      <c r="P69" s="7">
        <f t="shared" si="29"/>
        <v>0</v>
      </c>
      <c r="Q69" s="7">
        <f t="shared" si="29"/>
        <v>0</v>
      </c>
      <c r="R69" s="7">
        <f t="shared" si="29"/>
        <v>0</v>
      </c>
      <c r="S69" s="7">
        <f t="shared" si="29"/>
        <v>0</v>
      </c>
      <c r="T69" s="7">
        <f t="shared" si="29"/>
        <v>0</v>
      </c>
      <c r="U69" s="7">
        <f t="shared" si="29"/>
        <v>0</v>
      </c>
      <c r="V69" s="7">
        <f t="shared" si="29"/>
        <v>0</v>
      </c>
      <c r="W69" s="7">
        <f t="shared" si="29"/>
        <v>0</v>
      </c>
      <c r="X69" s="7">
        <f t="shared" si="29"/>
        <v>0</v>
      </c>
      <c r="Y69" s="7">
        <f t="shared" si="29"/>
        <v>0</v>
      </c>
      <c r="Z69" s="7">
        <f t="shared" si="29"/>
        <v>0</v>
      </c>
    </row>
    <row r="70" spans="2:26" x14ac:dyDescent="0.25">
      <c r="B70">
        <v>600</v>
      </c>
      <c r="D70" s="7">
        <f t="shared" ref="D70:Z70" si="30">(D$40-$B70/2)*IF(D35=0,0,1)</f>
        <v>0</v>
      </c>
      <c r="E70" s="7">
        <f t="shared" si="30"/>
        <v>0</v>
      </c>
      <c r="F70" s="7">
        <f t="shared" si="30"/>
        <v>0</v>
      </c>
      <c r="G70" s="7">
        <f t="shared" si="30"/>
        <v>0</v>
      </c>
      <c r="H70" s="7">
        <f t="shared" si="30"/>
        <v>0</v>
      </c>
      <c r="I70" s="7">
        <f t="shared" si="30"/>
        <v>0</v>
      </c>
      <c r="J70" s="7">
        <f t="shared" si="30"/>
        <v>0</v>
      </c>
      <c r="K70" s="7">
        <f t="shared" si="30"/>
        <v>0</v>
      </c>
      <c r="L70" s="7">
        <f t="shared" si="30"/>
        <v>0</v>
      </c>
      <c r="M70" s="7">
        <f t="shared" si="30"/>
        <v>0</v>
      </c>
      <c r="N70" s="7">
        <f t="shared" si="30"/>
        <v>120</v>
      </c>
      <c r="O70" s="7">
        <f t="shared" si="30"/>
        <v>150</v>
      </c>
      <c r="P70" s="7">
        <f t="shared" si="30"/>
        <v>0</v>
      </c>
      <c r="Q70" s="7">
        <f t="shared" si="30"/>
        <v>0</v>
      </c>
      <c r="R70" s="7">
        <f t="shared" si="30"/>
        <v>0</v>
      </c>
      <c r="S70" s="7">
        <f t="shared" si="30"/>
        <v>0</v>
      </c>
      <c r="T70" s="7">
        <f t="shared" si="30"/>
        <v>0</v>
      </c>
      <c r="U70" s="7">
        <f t="shared" si="30"/>
        <v>0</v>
      </c>
      <c r="V70" s="7">
        <f t="shared" si="30"/>
        <v>0</v>
      </c>
      <c r="W70" s="7">
        <f t="shared" si="30"/>
        <v>0</v>
      </c>
      <c r="X70" s="7">
        <f t="shared" si="30"/>
        <v>0</v>
      </c>
      <c r="Y70" s="7">
        <f t="shared" si="30"/>
        <v>0</v>
      </c>
      <c r="Z70" s="7">
        <f t="shared" si="30"/>
        <v>0</v>
      </c>
    </row>
    <row r="71" spans="2:26" x14ac:dyDescent="0.25">
      <c r="B71">
        <v>620</v>
      </c>
      <c r="D71" s="7">
        <f t="shared" ref="D71:Z71" si="31">(D$40-$B71/2)*IF(D36=0,0,1)</f>
        <v>0</v>
      </c>
      <c r="E71" s="7">
        <f t="shared" si="31"/>
        <v>0</v>
      </c>
      <c r="F71" s="7">
        <f t="shared" si="31"/>
        <v>0</v>
      </c>
      <c r="G71" s="7">
        <f t="shared" si="31"/>
        <v>0</v>
      </c>
      <c r="H71" s="7">
        <f t="shared" si="31"/>
        <v>0</v>
      </c>
      <c r="I71" s="7">
        <f t="shared" si="31"/>
        <v>0</v>
      </c>
      <c r="J71" s="7">
        <f t="shared" si="31"/>
        <v>0</v>
      </c>
      <c r="K71" s="7">
        <f t="shared" si="31"/>
        <v>0</v>
      </c>
      <c r="L71" s="7">
        <f t="shared" si="31"/>
        <v>0</v>
      </c>
      <c r="M71" s="7">
        <f t="shared" si="31"/>
        <v>0</v>
      </c>
      <c r="N71" s="7">
        <f t="shared" si="31"/>
        <v>110</v>
      </c>
      <c r="O71" s="7">
        <f t="shared" si="31"/>
        <v>140</v>
      </c>
      <c r="P71" s="7">
        <f t="shared" si="31"/>
        <v>0</v>
      </c>
      <c r="Q71" s="7">
        <f t="shared" si="31"/>
        <v>0</v>
      </c>
      <c r="R71" s="7">
        <f t="shared" si="31"/>
        <v>0</v>
      </c>
      <c r="S71" s="7">
        <f t="shared" si="31"/>
        <v>0</v>
      </c>
      <c r="T71" s="7">
        <f t="shared" si="31"/>
        <v>0</v>
      </c>
      <c r="U71" s="7">
        <f t="shared" si="31"/>
        <v>0</v>
      </c>
      <c r="V71" s="7">
        <f t="shared" si="31"/>
        <v>0</v>
      </c>
      <c r="W71" s="7">
        <f t="shared" si="31"/>
        <v>0</v>
      </c>
      <c r="X71" s="7">
        <f t="shared" si="31"/>
        <v>0</v>
      </c>
      <c r="Y71" s="7">
        <f t="shared" si="31"/>
        <v>0</v>
      </c>
      <c r="Z71" s="7">
        <f t="shared" si="31"/>
        <v>0</v>
      </c>
    </row>
    <row r="72" spans="2:26" x14ac:dyDescent="0.25">
      <c r="B72">
        <v>640</v>
      </c>
      <c r="D72" s="7">
        <f t="shared" ref="D72:Z72" si="32">(D$40-$B72/2)*IF(D37=0,0,1)</f>
        <v>0</v>
      </c>
      <c r="E72" s="7">
        <f t="shared" si="32"/>
        <v>0</v>
      </c>
      <c r="F72" s="7">
        <f t="shared" si="32"/>
        <v>0</v>
      </c>
      <c r="G72" s="7">
        <f t="shared" si="32"/>
        <v>0</v>
      </c>
      <c r="H72" s="7">
        <f t="shared" si="32"/>
        <v>0</v>
      </c>
      <c r="I72" s="7">
        <f t="shared" si="32"/>
        <v>0</v>
      </c>
      <c r="J72" s="7">
        <f t="shared" si="32"/>
        <v>0</v>
      </c>
      <c r="K72" s="7">
        <f t="shared" si="32"/>
        <v>0</v>
      </c>
      <c r="L72" s="7">
        <f t="shared" si="32"/>
        <v>0</v>
      </c>
      <c r="M72" s="7">
        <f t="shared" si="32"/>
        <v>0</v>
      </c>
      <c r="N72" s="7">
        <f t="shared" si="32"/>
        <v>0</v>
      </c>
      <c r="O72" s="7">
        <f t="shared" si="32"/>
        <v>0</v>
      </c>
      <c r="P72" s="7">
        <f t="shared" si="32"/>
        <v>0</v>
      </c>
      <c r="Q72" s="7">
        <f t="shared" si="32"/>
        <v>0</v>
      </c>
      <c r="R72" s="7">
        <f t="shared" si="32"/>
        <v>0</v>
      </c>
      <c r="S72" s="7">
        <f t="shared" si="32"/>
        <v>0</v>
      </c>
      <c r="T72" s="7">
        <f t="shared" si="32"/>
        <v>0</v>
      </c>
      <c r="U72" s="7">
        <f t="shared" si="32"/>
        <v>0</v>
      </c>
      <c r="V72" s="7">
        <f t="shared" si="32"/>
        <v>0</v>
      </c>
      <c r="W72" s="7">
        <f t="shared" si="32"/>
        <v>0</v>
      </c>
      <c r="X72" s="7">
        <f t="shared" si="32"/>
        <v>0</v>
      </c>
      <c r="Y72" s="7">
        <f t="shared" si="32"/>
        <v>0</v>
      </c>
      <c r="Z72" s="7">
        <f t="shared" si="32"/>
        <v>0</v>
      </c>
    </row>
    <row r="74" spans="2:26" x14ac:dyDescent="0.25">
      <c r="C74" t="s">
        <v>34</v>
      </c>
      <c r="D74">
        <v>120</v>
      </c>
      <c r="E74">
        <v>150</v>
      </c>
      <c r="F74">
        <v>180</v>
      </c>
      <c r="G74">
        <v>210</v>
      </c>
      <c r="H74">
        <v>240</v>
      </c>
      <c r="I74">
        <v>270</v>
      </c>
      <c r="J74">
        <v>300</v>
      </c>
      <c r="K74">
        <v>330</v>
      </c>
      <c r="L74">
        <v>360</v>
      </c>
      <c r="M74">
        <v>390</v>
      </c>
      <c r="N74">
        <v>420</v>
      </c>
      <c r="O74">
        <v>450</v>
      </c>
      <c r="P74">
        <v>480</v>
      </c>
      <c r="Q74">
        <v>510</v>
      </c>
      <c r="R74">
        <v>540</v>
      </c>
      <c r="S74">
        <v>570</v>
      </c>
      <c r="T74">
        <v>600</v>
      </c>
      <c r="U74">
        <v>630</v>
      </c>
      <c r="V74">
        <v>660</v>
      </c>
      <c r="W74">
        <v>690</v>
      </c>
      <c r="X74">
        <v>720</v>
      </c>
      <c r="Y74">
        <v>750</v>
      </c>
      <c r="Z74">
        <v>780</v>
      </c>
    </row>
    <row r="75" spans="2:26" x14ac:dyDescent="0.25">
      <c r="B75">
        <v>20</v>
      </c>
      <c r="D75" s="7">
        <f>(D$74+$B75/2)*IF(D6=0,0,1)</f>
        <v>0</v>
      </c>
      <c r="E75" s="7">
        <f t="shared" ref="E75:Z75" si="33">(E$74+$B75/2)*IF(E6=0,0,1)</f>
        <v>160</v>
      </c>
      <c r="F75" s="7">
        <f t="shared" si="33"/>
        <v>190</v>
      </c>
      <c r="G75" s="7">
        <f t="shared" si="33"/>
        <v>220</v>
      </c>
      <c r="H75" s="7">
        <f t="shared" si="33"/>
        <v>250</v>
      </c>
      <c r="I75" s="7">
        <f t="shared" si="33"/>
        <v>280</v>
      </c>
      <c r="J75" s="7">
        <f t="shared" si="33"/>
        <v>310</v>
      </c>
      <c r="K75" s="7">
        <f t="shared" si="33"/>
        <v>340</v>
      </c>
      <c r="L75" s="7">
        <f t="shared" si="33"/>
        <v>370</v>
      </c>
      <c r="M75" s="7">
        <f t="shared" si="33"/>
        <v>400</v>
      </c>
      <c r="N75" s="7">
        <f t="shared" si="33"/>
        <v>430</v>
      </c>
      <c r="O75" s="7">
        <f t="shared" si="33"/>
        <v>460</v>
      </c>
      <c r="P75" s="7">
        <f t="shared" si="33"/>
        <v>490</v>
      </c>
      <c r="Q75" s="7">
        <f t="shared" si="33"/>
        <v>520</v>
      </c>
      <c r="R75" s="7">
        <f t="shared" si="33"/>
        <v>550</v>
      </c>
      <c r="S75" s="7">
        <f t="shared" si="33"/>
        <v>580</v>
      </c>
      <c r="T75" s="7">
        <f t="shared" si="33"/>
        <v>610</v>
      </c>
      <c r="U75" s="7">
        <f t="shared" si="33"/>
        <v>640</v>
      </c>
      <c r="V75" s="7">
        <f t="shared" si="33"/>
        <v>670</v>
      </c>
      <c r="W75" s="7">
        <f t="shared" si="33"/>
        <v>700</v>
      </c>
      <c r="X75" s="7">
        <f t="shared" si="33"/>
        <v>730</v>
      </c>
      <c r="Y75" s="7">
        <f t="shared" si="33"/>
        <v>760</v>
      </c>
      <c r="Z75" s="7">
        <f t="shared" si="33"/>
        <v>0</v>
      </c>
    </row>
    <row r="76" spans="2:26" x14ac:dyDescent="0.25">
      <c r="B76">
        <v>40</v>
      </c>
      <c r="D76" s="7">
        <f t="shared" ref="D76:Z76" si="34">(D$74+$B76/2)*IF(D7=0,0,1)</f>
        <v>0</v>
      </c>
      <c r="E76" s="7">
        <f t="shared" si="34"/>
        <v>0</v>
      </c>
      <c r="F76" s="7">
        <f t="shared" si="34"/>
        <v>200</v>
      </c>
      <c r="G76" s="7">
        <f t="shared" si="34"/>
        <v>230</v>
      </c>
      <c r="H76" s="7">
        <f t="shared" si="34"/>
        <v>260</v>
      </c>
      <c r="I76" s="7">
        <f t="shared" si="34"/>
        <v>290</v>
      </c>
      <c r="J76" s="7">
        <f t="shared" si="34"/>
        <v>320</v>
      </c>
      <c r="K76" s="7">
        <f t="shared" si="34"/>
        <v>350</v>
      </c>
      <c r="L76" s="7">
        <f t="shared" si="34"/>
        <v>380</v>
      </c>
      <c r="M76" s="7">
        <f t="shared" si="34"/>
        <v>410</v>
      </c>
      <c r="N76" s="7">
        <f t="shared" si="34"/>
        <v>440</v>
      </c>
      <c r="O76" s="7">
        <f t="shared" si="34"/>
        <v>470</v>
      </c>
      <c r="P76" s="7">
        <f t="shared" si="34"/>
        <v>500</v>
      </c>
      <c r="Q76" s="7">
        <f t="shared" si="34"/>
        <v>530</v>
      </c>
      <c r="R76" s="7">
        <f t="shared" si="34"/>
        <v>560</v>
      </c>
      <c r="S76" s="7">
        <f t="shared" si="34"/>
        <v>590</v>
      </c>
      <c r="T76" s="7">
        <f t="shared" si="34"/>
        <v>620</v>
      </c>
      <c r="U76" s="7">
        <f t="shared" si="34"/>
        <v>650</v>
      </c>
      <c r="V76" s="7">
        <f t="shared" si="34"/>
        <v>680</v>
      </c>
      <c r="W76" s="7">
        <f t="shared" si="34"/>
        <v>710</v>
      </c>
      <c r="X76" s="7">
        <f t="shared" si="34"/>
        <v>740</v>
      </c>
      <c r="Y76" s="7">
        <f t="shared" si="34"/>
        <v>0</v>
      </c>
      <c r="Z76" s="7">
        <f t="shared" si="34"/>
        <v>0</v>
      </c>
    </row>
    <row r="77" spans="2:26" x14ac:dyDescent="0.25">
      <c r="B77">
        <v>60</v>
      </c>
      <c r="D77" s="7">
        <f t="shared" ref="D77:Z77" si="35">(D$74+$B77/2)*IF(D8=0,0,1)</f>
        <v>0</v>
      </c>
      <c r="E77" s="7">
        <f t="shared" si="35"/>
        <v>0</v>
      </c>
      <c r="F77" s="7">
        <f t="shared" si="35"/>
        <v>210</v>
      </c>
      <c r="G77" s="7">
        <f t="shared" si="35"/>
        <v>240</v>
      </c>
      <c r="H77" s="7">
        <f t="shared" si="35"/>
        <v>270</v>
      </c>
      <c r="I77" s="7">
        <f t="shared" si="35"/>
        <v>300</v>
      </c>
      <c r="J77" s="7">
        <f t="shared" si="35"/>
        <v>330</v>
      </c>
      <c r="K77" s="7">
        <f t="shared" si="35"/>
        <v>360</v>
      </c>
      <c r="L77" s="7">
        <f t="shared" si="35"/>
        <v>390</v>
      </c>
      <c r="M77" s="7">
        <f t="shared" si="35"/>
        <v>420</v>
      </c>
      <c r="N77" s="7">
        <f t="shared" si="35"/>
        <v>450</v>
      </c>
      <c r="O77" s="7">
        <f t="shared" si="35"/>
        <v>480</v>
      </c>
      <c r="P77" s="7">
        <f t="shared" si="35"/>
        <v>510</v>
      </c>
      <c r="Q77" s="7">
        <f t="shared" si="35"/>
        <v>540</v>
      </c>
      <c r="R77" s="7">
        <f t="shared" si="35"/>
        <v>570</v>
      </c>
      <c r="S77" s="7">
        <f t="shared" si="35"/>
        <v>600</v>
      </c>
      <c r="T77" s="7">
        <f t="shared" si="35"/>
        <v>630</v>
      </c>
      <c r="U77" s="7">
        <f t="shared" si="35"/>
        <v>660</v>
      </c>
      <c r="V77" s="7">
        <f t="shared" si="35"/>
        <v>690</v>
      </c>
      <c r="W77" s="7">
        <f t="shared" si="35"/>
        <v>720</v>
      </c>
      <c r="X77" s="7">
        <f t="shared" si="35"/>
        <v>750</v>
      </c>
      <c r="Y77" s="7">
        <f t="shared" si="35"/>
        <v>0</v>
      </c>
      <c r="Z77" s="7">
        <f t="shared" si="35"/>
        <v>0</v>
      </c>
    </row>
    <row r="78" spans="2:26" x14ac:dyDescent="0.25">
      <c r="B78">
        <v>80</v>
      </c>
      <c r="D78" s="7">
        <f t="shared" ref="D78:Z78" si="36">(D$74+$B78/2)*IF(D9=0,0,1)</f>
        <v>0</v>
      </c>
      <c r="E78" s="7">
        <f t="shared" si="36"/>
        <v>0</v>
      </c>
      <c r="F78" s="7">
        <f t="shared" si="36"/>
        <v>220</v>
      </c>
      <c r="G78" s="7">
        <f t="shared" si="36"/>
        <v>250</v>
      </c>
      <c r="H78" s="7">
        <f t="shared" si="36"/>
        <v>280</v>
      </c>
      <c r="I78" s="7">
        <f t="shared" si="36"/>
        <v>310</v>
      </c>
      <c r="J78" s="7">
        <f t="shared" si="36"/>
        <v>340</v>
      </c>
      <c r="K78" s="7">
        <f t="shared" si="36"/>
        <v>370</v>
      </c>
      <c r="L78" s="7">
        <f t="shared" si="36"/>
        <v>400</v>
      </c>
      <c r="M78" s="7">
        <f t="shared" si="36"/>
        <v>430</v>
      </c>
      <c r="N78" s="7">
        <f t="shared" si="36"/>
        <v>460</v>
      </c>
      <c r="O78" s="7">
        <f t="shared" si="36"/>
        <v>490</v>
      </c>
      <c r="P78" s="7">
        <f t="shared" si="36"/>
        <v>520</v>
      </c>
      <c r="Q78" s="7">
        <f t="shared" si="36"/>
        <v>550</v>
      </c>
      <c r="R78" s="7">
        <f t="shared" si="36"/>
        <v>580</v>
      </c>
      <c r="S78" s="7">
        <f t="shared" si="36"/>
        <v>610</v>
      </c>
      <c r="T78" s="7">
        <f t="shared" si="36"/>
        <v>640</v>
      </c>
      <c r="U78" s="7">
        <f t="shared" si="36"/>
        <v>670</v>
      </c>
      <c r="V78" s="7">
        <f t="shared" si="36"/>
        <v>700</v>
      </c>
      <c r="W78" s="7">
        <f t="shared" si="36"/>
        <v>730</v>
      </c>
      <c r="X78" s="7">
        <f t="shared" si="36"/>
        <v>0</v>
      </c>
      <c r="Y78" s="7">
        <f t="shared" si="36"/>
        <v>0</v>
      </c>
      <c r="Z78" s="7">
        <f t="shared" si="36"/>
        <v>0</v>
      </c>
    </row>
    <row r="79" spans="2:26" x14ac:dyDescent="0.25">
      <c r="B79">
        <v>100</v>
      </c>
      <c r="D79" s="7">
        <f t="shared" ref="D79:Z79" si="37">(D$74+$B79/2)*IF(D10=0,0,1)</f>
        <v>0</v>
      </c>
      <c r="E79" s="7">
        <f t="shared" si="37"/>
        <v>0</v>
      </c>
      <c r="F79" s="7">
        <f t="shared" si="37"/>
        <v>230</v>
      </c>
      <c r="G79" s="7">
        <f t="shared" si="37"/>
        <v>260</v>
      </c>
      <c r="H79" s="7">
        <f t="shared" si="37"/>
        <v>290</v>
      </c>
      <c r="I79" s="7">
        <f t="shared" si="37"/>
        <v>320</v>
      </c>
      <c r="J79" s="7">
        <f t="shared" si="37"/>
        <v>350</v>
      </c>
      <c r="K79" s="7">
        <f t="shared" si="37"/>
        <v>380</v>
      </c>
      <c r="L79" s="7">
        <f t="shared" si="37"/>
        <v>410</v>
      </c>
      <c r="M79" s="7">
        <f t="shared" si="37"/>
        <v>440</v>
      </c>
      <c r="N79" s="7">
        <f t="shared" si="37"/>
        <v>470</v>
      </c>
      <c r="O79" s="7">
        <f t="shared" si="37"/>
        <v>500</v>
      </c>
      <c r="P79" s="7">
        <f t="shared" si="37"/>
        <v>530</v>
      </c>
      <c r="Q79" s="7">
        <f t="shared" si="37"/>
        <v>560</v>
      </c>
      <c r="R79" s="7">
        <f t="shared" si="37"/>
        <v>590</v>
      </c>
      <c r="S79" s="7">
        <f t="shared" si="37"/>
        <v>620</v>
      </c>
      <c r="T79" s="7">
        <f t="shared" si="37"/>
        <v>650</v>
      </c>
      <c r="U79" s="7">
        <f t="shared" si="37"/>
        <v>680</v>
      </c>
      <c r="V79" s="7">
        <f t="shared" si="37"/>
        <v>710</v>
      </c>
      <c r="W79" s="7">
        <f t="shared" si="37"/>
        <v>0</v>
      </c>
      <c r="X79" s="7">
        <f t="shared" si="37"/>
        <v>0</v>
      </c>
      <c r="Y79" s="7">
        <f t="shared" si="37"/>
        <v>0</v>
      </c>
      <c r="Z79" s="7">
        <f t="shared" si="37"/>
        <v>0</v>
      </c>
    </row>
    <row r="80" spans="2:26" x14ac:dyDescent="0.25">
      <c r="B80">
        <v>120</v>
      </c>
      <c r="D80" s="7">
        <f t="shared" ref="D80:Z80" si="38">(D$74+$B80/2)*IF(D11=0,0,1)</f>
        <v>0</v>
      </c>
      <c r="E80" s="7">
        <f t="shared" si="38"/>
        <v>0</v>
      </c>
      <c r="F80" s="7">
        <f t="shared" si="38"/>
        <v>0</v>
      </c>
      <c r="G80" s="7">
        <f t="shared" si="38"/>
        <v>0</v>
      </c>
      <c r="H80" s="7">
        <f t="shared" si="38"/>
        <v>300</v>
      </c>
      <c r="I80" s="7">
        <f t="shared" si="38"/>
        <v>330</v>
      </c>
      <c r="J80" s="7">
        <f t="shared" si="38"/>
        <v>360</v>
      </c>
      <c r="K80" s="7">
        <f t="shared" si="38"/>
        <v>390</v>
      </c>
      <c r="L80" s="7">
        <f t="shared" si="38"/>
        <v>420</v>
      </c>
      <c r="M80" s="7">
        <f t="shared" si="38"/>
        <v>450</v>
      </c>
      <c r="N80" s="7">
        <f t="shared" si="38"/>
        <v>480</v>
      </c>
      <c r="O80" s="7">
        <f t="shared" si="38"/>
        <v>510</v>
      </c>
      <c r="P80" s="7">
        <f t="shared" si="38"/>
        <v>540</v>
      </c>
      <c r="Q80" s="7">
        <f t="shared" si="38"/>
        <v>570</v>
      </c>
      <c r="R80" s="7">
        <f t="shared" si="38"/>
        <v>600</v>
      </c>
      <c r="S80" s="7">
        <f t="shared" si="38"/>
        <v>630</v>
      </c>
      <c r="T80" s="7">
        <f t="shared" si="38"/>
        <v>660</v>
      </c>
      <c r="U80" s="7">
        <f t="shared" si="38"/>
        <v>690</v>
      </c>
      <c r="V80" s="7">
        <f t="shared" si="38"/>
        <v>720</v>
      </c>
      <c r="W80" s="7">
        <f t="shared" si="38"/>
        <v>750</v>
      </c>
      <c r="X80" s="7">
        <f t="shared" si="38"/>
        <v>0</v>
      </c>
      <c r="Y80" s="7">
        <f t="shared" si="38"/>
        <v>0</v>
      </c>
      <c r="Z80" s="7">
        <f t="shared" si="38"/>
        <v>0</v>
      </c>
    </row>
    <row r="81" spans="2:26" x14ac:dyDescent="0.25">
      <c r="B81">
        <v>140</v>
      </c>
      <c r="D81" s="7">
        <f t="shared" ref="D81:Z81" si="39">(D$74+$B81/2)*IF(D12=0,0,1)</f>
        <v>0</v>
      </c>
      <c r="E81" s="7">
        <f t="shared" si="39"/>
        <v>0</v>
      </c>
      <c r="F81" s="7">
        <f t="shared" si="39"/>
        <v>0</v>
      </c>
      <c r="G81" s="7">
        <f t="shared" si="39"/>
        <v>0</v>
      </c>
      <c r="H81" s="7">
        <f t="shared" si="39"/>
        <v>310</v>
      </c>
      <c r="I81" s="7">
        <f t="shared" si="39"/>
        <v>340</v>
      </c>
      <c r="J81" s="7">
        <f t="shared" si="39"/>
        <v>370</v>
      </c>
      <c r="K81" s="7">
        <f t="shared" si="39"/>
        <v>400</v>
      </c>
      <c r="L81" s="7">
        <f t="shared" si="39"/>
        <v>430</v>
      </c>
      <c r="M81" s="7">
        <f t="shared" si="39"/>
        <v>460</v>
      </c>
      <c r="N81" s="7">
        <f t="shared" si="39"/>
        <v>490</v>
      </c>
      <c r="O81" s="7">
        <f t="shared" si="39"/>
        <v>520</v>
      </c>
      <c r="P81" s="7">
        <f t="shared" si="39"/>
        <v>550</v>
      </c>
      <c r="Q81" s="7">
        <f t="shared" si="39"/>
        <v>580</v>
      </c>
      <c r="R81" s="7">
        <f t="shared" si="39"/>
        <v>610</v>
      </c>
      <c r="S81" s="7">
        <f t="shared" si="39"/>
        <v>640</v>
      </c>
      <c r="T81" s="7">
        <f t="shared" si="39"/>
        <v>670</v>
      </c>
      <c r="U81" s="7">
        <f t="shared" si="39"/>
        <v>700</v>
      </c>
      <c r="V81" s="7">
        <f t="shared" si="39"/>
        <v>0</v>
      </c>
      <c r="W81" s="7">
        <f t="shared" si="39"/>
        <v>0</v>
      </c>
      <c r="X81" s="7">
        <f t="shared" si="39"/>
        <v>0</v>
      </c>
      <c r="Y81" s="7">
        <f t="shared" si="39"/>
        <v>0</v>
      </c>
      <c r="Z81" s="7">
        <f t="shared" si="39"/>
        <v>0</v>
      </c>
    </row>
    <row r="82" spans="2:26" x14ac:dyDescent="0.25">
      <c r="B82">
        <v>160</v>
      </c>
      <c r="D82" s="7">
        <f t="shared" ref="D82:Z82" si="40">(D$74+$B82/2)*IF(D13=0,0,1)</f>
        <v>0</v>
      </c>
      <c r="E82" s="7">
        <f t="shared" si="40"/>
        <v>0</v>
      </c>
      <c r="F82" s="7">
        <f t="shared" si="40"/>
        <v>0</v>
      </c>
      <c r="G82" s="7">
        <f t="shared" si="40"/>
        <v>0</v>
      </c>
      <c r="H82" s="7">
        <f t="shared" si="40"/>
        <v>320</v>
      </c>
      <c r="I82" s="7">
        <f t="shared" si="40"/>
        <v>350</v>
      </c>
      <c r="J82" s="7">
        <f t="shared" si="40"/>
        <v>380</v>
      </c>
      <c r="K82" s="7">
        <f t="shared" si="40"/>
        <v>410</v>
      </c>
      <c r="L82" s="7">
        <f t="shared" si="40"/>
        <v>440</v>
      </c>
      <c r="M82" s="7">
        <f t="shared" si="40"/>
        <v>470</v>
      </c>
      <c r="N82" s="7">
        <f t="shared" si="40"/>
        <v>500</v>
      </c>
      <c r="O82" s="7">
        <f t="shared" si="40"/>
        <v>530</v>
      </c>
      <c r="P82" s="7">
        <f t="shared" si="40"/>
        <v>560</v>
      </c>
      <c r="Q82" s="7">
        <f t="shared" si="40"/>
        <v>590</v>
      </c>
      <c r="R82" s="7">
        <f t="shared" si="40"/>
        <v>620</v>
      </c>
      <c r="S82" s="7">
        <f t="shared" si="40"/>
        <v>650</v>
      </c>
      <c r="T82" s="7">
        <f t="shared" si="40"/>
        <v>680</v>
      </c>
      <c r="U82" s="7">
        <f t="shared" si="40"/>
        <v>710</v>
      </c>
      <c r="V82" s="7">
        <f t="shared" si="40"/>
        <v>0</v>
      </c>
      <c r="W82" s="7">
        <f t="shared" si="40"/>
        <v>0</v>
      </c>
      <c r="X82" s="7">
        <f t="shared" si="40"/>
        <v>0</v>
      </c>
      <c r="Y82" s="7">
        <f t="shared" si="40"/>
        <v>0</v>
      </c>
      <c r="Z82" s="7">
        <f t="shared" si="40"/>
        <v>0</v>
      </c>
    </row>
    <row r="83" spans="2:26" x14ac:dyDescent="0.25">
      <c r="B83">
        <v>180</v>
      </c>
      <c r="D83" s="7">
        <f t="shared" ref="D83:Z83" si="41">(D$74+$B83/2)*IF(D14=0,0,1)</f>
        <v>0</v>
      </c>
      <c r="E83" s="7">
        <f t="shared" si="41"/>
        <v>0</v>
      </c>
      <c r="F83" s="7">
        <f t="shared" si="41"/>
        <v>0</v>
      </c>
      <c r="G83" s="7">
        <f t="shared" si="41"/>
        <v>0</v>
      </c>
      <c r="H83" s="7">
        <f t="shared" si="41"/>
        <v>0</v>
      </c>
      <c r="I83" s="7">
        <f t="shared" si="41"/>
        <v>360</v>
      </c>
      <c r="J83" s="7">
        <f t="shared" si="41"/>
        <v>390</v>
      </c>
      <c r="K83" s="7">
        <f t="shared" si="41"/>
        <v>420</v>
      </c>
      <c r="L83" s="7">
        <f t="shared" si="41"/>
        <v>450</v>
      </c>
      <c r="M83" s="7">
        <f t="shared" si="41"/>
        <v>480</v>
      </c>
      <c r="N83" s="7">
        <f t="shared" si="41"/>
        <v>510</v>
      </c>
      <c r="O83" s="7">
        <f t="shared" si="41"/>
        <v>540</v>
      </c>
      <c r="P83" s="7">
        <f t="shared" si="41"/>
        <v>570</v>
      </c>
      <c r="Q83" s="7">
        <f t="shared" si="41"/>
        <v>600</v>
      </c>
      <c r="R83" s="7">
        <f t="shared" si="41"/>
        <v>630</v>
      </c>
      <c r="S83" s="7">
        <f t="shared" si="41"/>
        <v>660</v>
      </c>
      <c r="T83" s="7">
        <f t="shared" si="41"/>
        <v>690</v>
      </c>
      <c r="U83" s="7">
        <f t="shared" si="41"/>
        <v>0</v>
      </c>
      <c r="V83" s="7">
        <f t="shared" si="41"/>
        <v>0</v>
      </c>
      <c r="W83" s="7">
        <f t="shared" si="41"/>
        <v>0</v>
      </c>
      <c r="X83" s="7">
        <f t="shared" si="41"/>
        <v>0</v>
      </c>
      <c r="Y83" s="7">
        <f t="shared" si="41"/>
        <v>0</v>
      </c>
      <c r="Z83" s="7">
        <f t="shared" si="41"/>
        <v>0</v>
      </c>
    </row>
    <row r="84" spans="2:26" x14ac:dyDescent="0.25">
      <c r="B84">
        <v>200</v>
      </c>
      <c r="D84" s="7">
        <f t="shared" ref="D84:Z84" si="42">(D$74+$B84/2)*IF(D15=0,0,1)</f>
        <v>0</v>
      </c>
      <c r="E84" s="7">
        <f t="shared" si="42"/>
        <v>0</v>
      </c>
      <c r="F84" s="7">
        <f t="shared" si="42"/>
        <v>0</v>
      </c>
      <c r="G84" s="7">
        <f t="shared" si="42"/>
        <v>0</v>
      </c>
      <c r="H84" s="7">
        <f t="shared" si="42"/>
        <v>0</v>
      </c>
      <c r="I84" s="7">
        <f t="shared" si="42"/>
        <v>370</v>
      </c>
      <c r="J84" s="7">
        <f t="shared" si="42"/>
        <v>400</v>
      </c>
      <c r="K84" s="7">
        <f t="shared" si="42"/>
        <v>430</v>
      </c>
      <c r="L84" s="7">
        <f t="shared" si="42"/>
        <v>460</v>
      </c>
      <c r="M84" s="7">
        <f t="shared" si="42"/>
        <v>490</v>
      </c>
      <c r="N84" s="7">
        <f t="shared" si="42"/>
        <v>520</v>
      </c>
      <c r="O84" s="7">
        <f t="shared" si="42"/>
        <v>550</v>
      </c>
      <c r="P84" s="7">
        <f t="shared" si="42"/>
        <v>580</v>
      </c>
      <c r="Q84" s="7">
        <f t="shared" si="42"/>
        <v>610</v>
      </c>
      <c r="R84" s="7">
        <f t="shared" si="42"/>
        <v>640</v>
      </c>
      <c r="S84" s="7">
        <f t="shared" si="42"/>
        <v>670</v>
      </c>
      <c r="T84" s="7">
        <f t="shared" si="42"/>
        <v>700</v>
      </c>
      <c r="U84" s="7">
        <f t="shared" si="42"/>
        <v>0</v>
      </c>
      <c r="V84" s="7">
        <f t="shared" si="42"/>
        <v>0</v>
      </c>
      <c r="W84" s="7">
        <f t="shared" si="42"/>
        <v>0</v>
      </c>
      <c r="X84" s="7">
        <f t="shared" si="42"/>
        <v>0</v>
      </c>
      <c r="Y84" s="7">
        <f t="shared" si="42"/>
        <v>0</v>
      </c>
      <c r="Z84" s="7">
        <f t="shared" si="42"/>
        <v>0</v>
      </c>
    </row>
    <row r="85" spans="2:26" x14ac:dyDescent="0.25">
      <c r="B85">
        <v>220</v>
      </c>
      <c r="D85" s="7">
        <f t="shared" ref="D85:Z85" si="43">(D$74+$B85/2)*IF(D16=0,0,1)</f>
        <v>0</v>
      </c>
      <c r="E85" s="7">
        <f t="shared" si="43"/>
        <v>0</v>
      </c>
      <c r="F85" s="7">
        <f t="shared" si="43"/>
        <v>0</v>
      </c>
      <c r="G85" s="7">
        <f t="shared" si="43"/>
        <v>0</v>
      </c>
      <c r="H85" s="7">
        <f t="shared" si="43"/>
        <v>0</v>
      </c>
      <c r="I85" s="7">
        <f t="shared" si="43"/>
        <v>380</v>
      </c>
      <c r="J85" s="7">
        <f t="shared" si="43"/>
        <v>410</v>
      </c>
      <c r="K85" s="7">
        <f t="shared" si="43"/>
        <v>440</v>
      </c>
      <c r="L85" s="7">
        <f t="shared" si="43"/>
        <v>470</v>
      </c>
      <c r="M85" s="7">
        <f t="shared" si="43"/>
        <v>500</v>
      </c>
      <c r="N85" s="7">
        <f t="shared" si="43"/>
        <v>530</v>
      </c>
      <c r="O85" s="7">
        <f t="shared" si="43"/>
        <v>560</v>
      </c>
      <c r="P85" s="7">
        <f t="shared" si="43"/>
        <v>590</v>
      </c>
      <c r="Q85" s="7">
        <f t="shared" si="43"/>
        <v>620</v>
      </c>
      <c r="R85" s="7">
        <f t="shared" si="43"/>
        <v>650</v>
      </c>
      <c r="S85" s="7">
        <f t="shared" si="43"/>
        <v>680</v>
      </c>
      <c r="T85" s="7">
        <f t="shared" si="43"/>
        <v>0</v>
      </c>
      <c r="U85" s="7">
        <f t="shared" si="43"/>
        <v>0</v>
      </c>
      <c r="V85" s="7">
        <f t="shared" si="43"/>
        <v>0</v>
      </c>
      <c r="W85" s="7">
        <f t="shared" si="43"/>
        <v>0</v>
      </c>
      <c r="X85" s="7">
        <f t="shared" si="43"/>
        <v>0</v>
      </c>
      <c r="Y85" s="7">
        <f t="shared" si="43"/>
        <v>0</v>
      </c>
      <c r="Z85" s="7">
        <f t="shared" si="43"/>
        <v>0</v>
      </c>
    </row>
    <row r="86" spans="2:26" x14ac:dyDescent="0.25">
      <c r="B86">
        <v>240</v>
      </c>
      <c r="D86" s="7">
        <f t="shared" ref="D86:Z86" si="44">(D$74+$B86/2)*IF(D17=0,0,1)</f>
        <v>0</v>
      </c>
      <c r="E86" s="7">
        <f t="shared" si="44"/>
        <v>0</v>
      </c>
      <c r="F86" s="7">
        <f t="shared" si="44"/>
        <v>0</v>
      </c>
      <c r="G86" s="7">
        <f t="shared" si="44"/>
        <v>0</v>
      </c>
      <c r="H86" s="7">
        <f t="shared" si="44"/>
        <v>0</v>
      </c>
      <c r="I86" s="7">
        <f t="shared" si="44"/>
        <v>0</v>
      </c>
      <c r="J86" s="7">
        <f t="shared" si="44"/>
        <v>420</v>
      </c>
      <c r="K86" s="7">
        <f t="shared" si="44"/>
        <v>450</v>
      </c>
      <c r="L86" s="7">
        <f t="shared" si="44"/>
        <v>480</v>
      </c>
      <c r="M86" s="7">
        <f t="shared" si="44"/>
        <v>510</v>
      </c>
      <c r="N86" s="7">
        <f t="shared" si="44"/>
        <v>540</v>
      </c>
      <c r="O86" s="7">
        <f t="shared" si="44"/>
        <v>570</v>
      </c>
      <c r="P86" s="7">
        <f t="shared" si="44"/>
        <v>600</v>
      </c>
      <c r="Q86" s="7">
        <f t="shared" si="44"/>
        <v>630</v>
      </c>
      <c r="R86" s="7">
        <f t="shared" si="44"/>
        <v>660</v>
      </c>
      <c r="S86" s="7">
        <f t="shared" si="44"/>
        <v>690</v>
      </c>
      <c r="T86" s="7">
        <f t="shared" si="44"/>
        <v>720</v>
      </c>
      <c r="U86" s="7">
        <f t="shared" si="44"/>
        <v>0</v>
      </c>
      <c r="V86" s="7">
        <f t="shared" si="44"/>
        <v>0</v>
      </c>
      <c r="W86" s="7">
        <f t="shared" si="44"/>
        <v>0</v>
      </c>
      <c r="X86" s="7">
        <f t="shared" si="44"/>
        <v>0</v>
      </c>
      <c r="Y86" s="7">
        <f t="shared" si="44"/>
        <v>0</v>
      </c>
      <c r="Z86" s="7">
        <f t="shared" si="44"/>
        <v>0</v>
      </c>
    </row>
    <row r="87" spans="2:26" x14ac:dyDescent="0.25">
      <c r="B87">
        <v>260</v>
      </c>
      <c r="D87" s="7">
        <f t="shared" ref="D87:Z87" si="45">(D$74+$B87/2)*IF(D18=0,0,1)</f>
        <v>0</v>
      </c>
      <c r="E87" s="7">
        <f t="shared" si="45"/>
        <v>0</v>
      </c>
      <c r="F87" s="7">
        <f t="shared" si="45"/>
        <v>0</v>
      </c>
      <c r="G87" s="7">
        <f t="shared" si="45"/>
        <v>0</v>
      </c>
      <c r="H87" s="7">
        <f t="shared" si="45"/>
        <v>0</v>
      </c>
      <c r="I87" s="7">
        <f t="shared" si="45"/>
        <v>0</v>
      </c>
      <c r="J87" s="7">
        <f t="shared" si="45"/>
        <v>430</v>
      </c>
      <c r="K87" s="7">
        <f t="shared" si="45"/>
        <v>460</v>
      </c>
      <c r="L87" s="7">
        <f t="shared" si="45"/>
        <v>490</v>
      </c>
      <c r="M87" s="7">
        <f t="shared" si="45"/>
        <v>520</v>
      </c>
      <c r="N87" s="7">
        <f t="shared" si="45"/>
        <v>550</v>
      </c>
      <c r="O87" s="7">
        <f t="shared" si="45"/>
        <v>580</v>
      </c>
      <c r="P87" s="7">
        <f t="shared" si="45"/>
        <v>610</v>
      </c>
      <c r="Q87" s="7">
        <f t="shared" si="45"/>
        <v>640</v>
      </c>
      <c r="R87" s="7">
        <f t="shared" si="45"/>
        <v>670</v>
      </c>
      <c r="S87" s="7">
        <f t="shared" si="45"/>
        <v>700</v>
      </c>
      <c r="T87" s="7">
        <f t="shared" si="45"/>
        <v>0</v>
      </c>
      <c r="U87" s="7">
        <f t="shared" si="45"/>
        <v>0</v>
      </c>
      <c r="V87" s="7">
        <f t="shared" si="45"/>
        <v>0</v>
      </c>
      <c r="W87" s="7">
        <f t="shared" si="45"/>
        <v>0</v>
      </c>
      <c r="X87" s="7">
        <f t="shared" si="45"/>
        <v>0</v>
      </c>
      <c r="Y87" s="7">
        <f t="shared" si="45"/>
        <v>0</v>
      </c>
      <c r="Z87" s="7">
        <f t="shared" si="45"/>
        <v>0</v>
      </c>
    </row>
    <row r="88" spans="2:26" x14ac:dyDescent="0.25">
      <c r="B88">
        <v>280</v>
      </c>
      <c r="D88" s="7">
        <f t="shared" ref="D88:Z88" si="46">(D$74+$B88/2)*IF(D19=0,0,1)</f>
        <v>0</v>
      </c>
      <c r="E88" s="7">
        <f t="shared" si="46"/>
        <v>0</v>
      </c>
      <c r="F88" s="7">
        <f t="shared" si="46"/>
        <v>0</v>
      </c>
      <c r="G88" s="7">
        <f t="shared" si="46"/>
        <v>0</v>
      </c>
      <c r="H88" s="7">
        <f t="shared" si="46"/>
        <v>0</v>
      </c>
      <c r="I88" s="7">
        <f t="shared" si="46"/>
        <v>0</v>
      </c>
      <c r="J88" s="7">
        <f t="shared" si="46"/>
        <v>440</v>
      </c>
      <c r="K88" s="7">
        <f t="shared" si="46"/>
        <v>470</v>
      </c>
      <c r="L88" s="7">
        <f t="shared" si="46"/>
        <v>500</v>
      </c>
      <c r="M88" s="7">
        <f t="shared" si="46"/>
        <v>530</v>
      </c>
      <c r="N88" s="7">
        <f t="shared" si="46"/>
        <v>560</v>
      </c>
      <c r="O88" s="7">
        <f t="shared" si="46"/>
        <v>590</v>
      </c>
      <c r="P88" s="7">
        <f t="shared" si="46"/>
        <v>620</v>
      </c>
      <c r="Q88" s="7">
        <f t="shared" si="46"/>
        <v>650</v>
      </c>
      <c r="R88" s="7">
        <f t="shared" si="46"/>
        <v>680</v>
      </c>
      <c r="S88" s="7">
        <f t="shared" si="46"/>
        <v>0</v>
      </c>
      <c r="T88" s="7">
        <f t="shared" si="46"/>
        <v>0</v>
      </c>
      <c r="U88" s="7">
        <f t="shared" si="46"/>
        <v>0</v>
      </c>
      <c r="V88" s="7">
        <f t="shared" si="46"/>
        <v>0</v>
      </c>
      <c r="W88" s="7">
        <f t="shared" si="46"/>
        <v>0</v>
      </c>
      <c r="X88" s="7">
        <f t="shared" si="46"/>
        <v>0</v>
      </c>
      <c r="Y88" s="7">
        <f t="shared" si="46"/>
        <v>0</v>
      </c>
      <c r="Z88" s="7">
        <f t="shared" si="46"/>
        <v>0</v>
      </c>
    </row>
    <row r="89" spans="2:26" x14ac:dyDescent="0.25">
      <c r="B89">
        <v>300</v>
      </c>
      <c r="D89" s="7">
        <f t="shared" ref="D89:Z89" si="47">(D$74+$B89/2)*IF(D20=0,0,1)</f>
        <v>0</v>
      </c>
      <c r="E89" s="7">
        <f t="shared" si="47"/>
        <v>0</v>
      </c>
      <c r="F89" s="7">
        <f t="shared" si="47"/>
        <v>0</v>
      </c>
      <c r="G89" s="7">
        <f t="shared" si="47"/>
        <v>0</v>
      </c>
      <c r="H89" s="7">
        <f t="shared" si="47"/>
        <v>0</v>
      </c>
      <c r="I89" s="7">
        <f t="shared" si="47"/>
        <v>0</v>
      </c>
      <c r="J89" s="7">
        <f t="shared" si="47"/>
        <v>450</v>
      </c>
      <c r="K89" s="7">
        <f t="shared" si="47"/>
        <v>480</v>
      </c>
      <c r="L89" s="7">
        <f t="shared" si="47"/>
        <v>510</v>
      </c>
      <c r="M89" s="7">
        <f t="shared" si="47"/>
        <v>540</v>
      </c>
      <c r="N89" s="7">
        <f t="shared" si="47"/>
        <v>570</v>
      </c>
      <c r="O89" s="7">
        <f t="shared" si="47"/>
        <v>600</v>
      </c>
      <c r="P89" s="7">
        <f t="shared" si="47"/>
        <v>630</v>
      </c>
      <c r="Q89" s="7">
        <f t="shared" si="47"/>
        <v>660</v>
      </c>
      <c r="R89" s="7">
        <f t="shared" si="47"/>
        <v>690</v>
      </c>
      <c r="S89" s="7">
        <f t="shared" si="47"/>
        <v>0</v>
      </c>
      <c r="T89" s="7">
        <f t="shared" si="47"/>
        <v>0</v>
      </c>
      <c r="U89" s="7">
        <f t="shared" si="47"/>
        <v>0</v>
      </c>
      <c r="V89" s="7">
        <f t="shared" si="47"/>
        <v>0</v>
      </c>
      <c r="W89" s="7">
        <f t="shared" si="47"/>
        <v>0</v>
      </c>
      <c r="X89" s="7">
        <f t="shared" si="47"/>
        <v>0</v>
      </c>
      <c r="Y89" s="7">
        <f t="shared" si="47"/>
        <v>0</v>
      </c>
      <c r="Z89" s="7">
        <f t="shared" si="47"/>
        <v>0</v>
      </c>
    </row>
    <row r="90" spans="2:26" x14ac:dyDescent="0.25">
      <c r="B90">
        <v>320</v>
      </c>
      <c r="D90" s="7">
        <f t="shared" ref="D90:Z90" si="48">(D$74+$B90/2)*IF(D21=0,0,1)</f>
        <v>0</v>
      </c>
      <c r="E90" s="7">
        <f t="shared" si="48"/>
        <v>0</v>
      </c>
      <c r="F90" s="7">
        <f t="shared" si="48"/>
        <v>0</v>
      </c>
      <c r="G90" s="7">
        <f t="shared" si="48"/>
        <v>0</v>
      </c>
      <c r="H90" s="7">
        <f t="shared" si="48"/>
        <v>0</v>
      </c>
      <c r="I90" s="7">
        <f t="shared" si="48"/>
        <v>0</v>
      </c>
      <c r="J90" s="7">
        <f t="shared" si="48"/>
        <v>0</v>
      </c>
      <c r="K90" s="7">
        <f t="shared" si="48"/>
        <v>490</v>
      </c>
      <c r="L90" s="7">
        <f t="shared" si="48"/>
        <v>520</v>
      </c>
      <c r="M90" s="7">
        <f t="shared" si="48"/>
        <v>550</v>
      </c>
      <c r="N90" s="7">
        <f t="shared" si="48"/>
        <v>580</v>
      </c>
      <c r="O90" s="7">
        <f t="shared" si="48"/>
        <v>610</v>
      </c>
      <c r="P90" s="7">
        <f t="shared" si="48"/>
        <v>640</v>
      </c>
      <c r="Q90" s="7">
        <f t="shared" si="48"/>
        <v>670</v>
      </c>
      <c r="R90" s="7">
        <f t="shared" si="48"/>
        <v>700</v>
      </c>
      <c r="S90" s="7">
        <f t="shared" si="48"/>
        <v>0</v>
      </c>
      <c r="T90" s="7">
        <f t="shared" si="48"/>
        <v>0</v>
      </c>
      <c r="U90" s="7">
        <f t="shared" si="48"/>
        <v>0</v>
      </c>
      <c r="V90" s="7">
        <f t="shared" si="48"/>
        <v>0</v>
      </c>
      <c r="W90" s="7">
        <f t="shared" si="48"/>
        <v>0</v>
      </c>
      <c r="X90" s="7">
        <f t="shared" si="48"/>
        <v>0</v>
      </c>
      <c r="Y90" s="7">
        <f t="shared" si="48"/>
        <v>0</v>
      </c>
      <c r="Z90" s="7">
        <f t="shared" si="48"/>
        <v>0</v>
      </c>
    </row>
    <row r="91" spans="2:26" x14ac:dyDescent="0.25">
      <c r="B91">
        <v>340</v>
      </c>
      <c r="D91" s="7">
        <f t="shared" ref="D91:Z91" si="49">(D$74+$B91/2)*IF(D22=0,0,1)</f>
        <v>0</v>
      </c>
      <c r="E91" s="7">
        <f t="shared" si="49"/>
        <v>0</v>
      </c>
      <c r="F91" s="7">
        <f t="shared" si="49"/>
        <v>0</v>
      </c>
      <c r="G91" s="7">
        <f t="shared" si="49"/>
        <v>0</v>
      </c>
      <c r="H91" s="7">
        <f t="shared" si="49"/>
        <v>0</v>
      </c>
      <c r="I91" s="7">
        <f t="shared" si="49"/>
        <v>0</v>
      </c>
      <c r="J91" s="7">
        <f t="shared" si="49"/>
        <v>0</v>
      </c>
      <c r="K91" s="7">
        <f t="shared" si="49"/>
        <v>500</v>
      </c>
      <c r="L91" s="7">
        <f t="shared" si="49"/>
        <v>530</v>
      </c>
      <c r="M91" s="7">
        <f t="shared" si="49"/>
        <v>560</v>
      </c>
      <c r="N91" s="7">
        <f t="shared" si="49"/>
        <v>590</v>
      </c>
      <c r="O91" s="7">
        <f t="shared" si="49"/>
        <v>620</v>
      </c>
      <c r="P91" s="7">
        <f t="shared" si="49"/>
        <v>650</v>
      </c>
      <c r="Q91" s="7">
        <f t="shared" si="49"/>
        <v>680</v>
      </c>
      <c r="R91" s="7">
        <f t="shared" si="49"/>
        <v>710</v>
      </c>
      <c r="S91" s="7">
        <f t="shared" si="49"/>
        <v>0</v>
      </c>
      <c r="T91" s="7">
        <f t="shared" si="49"/>
        <v>0</v>
      </c>
      <c r="U91" s="7">
        <f t="shared" si="49"/>
        <v>0</v>
      </c>
      <c r="V91" s="7">
        <f t="shared" si="49"/>
        <v>0</v>
      </c>
      <c r="W91" s="7">
        <f t="shared" si="49"/>
        <v>0</v>
      </c>
      <c r="X91" s="7">
        <f t="shared" si="49"/>
        <v>0</v>
      </c>
      <c r="Y91" s="7">
        <f t="shared" si="49"/>
        <v>0</v>
      </c>
      <c r="Z91" s="7">
        <f t="shared" si="49"/>
        <v>0</v>
      </c>
    </row>
    <row r="92" spans="2:26" x14ac:dyDescent="0.25">
      <c r="B92">
        <v>360</v>
      </c>
      <c r="D92" s="7">
        <f t="shared" ref="D92:Z92" si="50">(D$74+$B92/2)*IF(D23=0,0,1)</f>
        <v>0</v>
      </c>
      <c r="E92" s="7">
        <f t="shared" si="50"/>
        <v>0</v>
      </c>
      <c r="F92" s="7">
        <f t="shared" si="50"/>
        <v>0</v>
      </c>
      <c r="G92" s="7">
        <f t="shared" si="50"/>
        <v>0</v>
      </c>
      <c r="H92" s="7">
        <f t="shared" si="50"/>
        <v>0</v>
      </c>
      <c r="I92" s="7">
        <f t="shared" si="50"/>
        <v>0</v>
      </c>
      <c r="J92" s="7">
        <f t="shared" si="50"/>
        <v>0</v>
      </c>
      <c r="K92" s="7">
        <f t="shared" si="50"/>
        <v>510</v>
      </c>
      <c r="L92" s="7">
        <f t="shared" si="50"/>
        <v>540</v>
      </c>
      <c r="M92" s="7">
        <f t="shared" si="50"/>
        <v>570</v>
      </c>
      <c r="N92" s="7">
        <f t="shared" si="50"/>
        <v>600</v>
      </c>
      <c r="O92" s="7">
        <f t="shared" si="50"/>
        <v>630</v>
      </c>
      <c r="P92" s="7">
        <f t="shared" si="50"/>
        <v>660</v>
      </c>
      <c r="Q92" s="7">
        <f t="shared" si="50"/>
        <v>690</v>
      </c>
      <c r="R92" s="7">
        <f t="shared" si="50"/>
        <v>0</v>
      </c>
      <c r="S92" s="7">
        <f t="shared" si="50"/>
        <v>0</v>
      </c>
      <c r="T92" s="7">
        <f t="shared" si="50"/>
        <v>0</v>
      </c>
      <c r="U92" s="7">
        <f t="shared" si="50"/>
        <v>0</v>
      </c>
      <c r="V92" s="7">
        <f t="shared" si="50"/>
        <v>0</v>
      </c>
      <c r="W92" s="7">
        <f t="shared" si="50"/>
        <v>0</v>
      </c>
      <c r="X92" s="7">
        <f t="shared" si="50"/>
        <v>0</v>
      </c>
      <c r="Y92" s="7">
        <f t="shared" si="50"/>
        <v>0</v>
      </c>
      <c r="Z92" s="7">
        <f t="shared" si="50"/>
        <v>0</v>
      </c>
    </row>
    <row r="93" spans="2:26" x14ac:dyDescent="0.25">
      <c r="B93">
        <v>380</v>
      </c>
      <c r="D93" s="7">
        <f t="shared" ref="D93:Z93" si="51">(D$74+$B93/2)*IF(D24=0,0,1)</f>
        <v>0</v>
      </c>
      <c r="E93" s="7">
        <f t="shared" si="51"/>
        <v>0</v>
      </c>
      <c r="F93" s="7">
        <f t="shared" si="51"/>
        <v>0</v>
      </c>
      <c r="G93" s="7">
        <f t="shared" si="51"/>
        <v>0</v>
      </c>
      <c r="H93" s="7">
        <f t="shared" si="51"/>
        <v>0</v>
      </c>
      <c r="I93" s="7">
        <f t="shared" si="51"/>
        <v>0</v>
      </c>
      <c r="J93" s="7">
        <f t="shared" si="51"/>
        <v>0</v>
      </c>
      <c r="K93" s="7">
        <f t="shared" si="51"/>
        <v>520</v>
      </c>
      <c r="L93" s="7">
        <f t="shared" si="51"/>
        <v>550</v>
      </c>
      <c r="M93" s="7">
        <f t="shared" si="51"/>
        <v>580</v>
      </c>
      <c r="N93" s="7">
        <f t="shared" si="51"/>
        <v>610</v>
      </c>
      <c r="O93" s="7">
        <f t="shared" si="51"/>
        <v>640</v>
      </c>
      <c r="P93" s="7">
        <f t="shared" si="51"/>
        <v>670</v>
      </c>
      <c r="Q93" s="7">
        <f t="shared" si="51"/>
        <v>700</v>
      </c>
      <c r="R93" s="7">
        <f t="shared" si="51"/>
        <v>0</v>
      </c>
      <c r="S93" s="7">
        <f t="shared" si="51"/>
        <v>0</v>
      </c>
      <c r="T93" s="7">
        <f t="shared" si="51"/>
        <v>0</v>
      </c>
      <c r="U93" s="7">
        <f t="shared" si="51"/>
        <v>0</v>
      </c>
      <c r="V93" s="7">
        <f t="shared" si="51"/>
        <v>0</v>
      </c>
      <c r="W93" s="7">
        <f t="shared" si="51"/>
        <v>0</v>
      </c>
      <c r="X93" s="7">
        <f t="shared" si="51"/>
        <v>0</v>
      </c>
      <c r="Y93" s="7">
        <f t="shared" si="51"/>
        <v>0</v>
      </c>
      <c r="Z93" s="7">
        <f t="shared" si="51"/>
        <v>0</v>
      </c>
    </row>
    <row r="94" spans="2:26" x14ac:dyDescent="0.25">
      <c r="B94">
        <v>400</v>
      </c>
      <c r="D94" s="7">
        <f t="shared" ref="D94:Z94" si="52">(D$74+$B94/2)*IF(D25=0,0,1)</f>
        <v>0</v>
      </c>
      <c r="E94" s="7">
        <f t="shared" si="52"/>
        <v>0</v>
      </c>
      <c r="F94" s="7">
        <f t="shared" si="52"/>
        <v>0</v>
      </c>
      <c r="G94" s="7">
        <f t="shared" si="52"/>
        <v>0</v>
      </c>
      <c r="H94" s="7">
        <f t="shared" si="52"/>
        <v>0</v>
      </c>
      <c r="I94" s="7">
        <f t="shared" si="52"/>
        <v>0</v>
      </c>
      <c r="J94" s="7">
        <f t="shared" si="52"/>
        <v>0</v>
      </c>
      <c r="K94" s="7">
        <f t="shared" si="52"/>
        <v>0</v>
      </c>
      <c r="L94" s="7">
        <f t="shared" si="52"/>
        <v>560</v>
      </c>
      <c r="M94" s="7">
        <f t="shared" si="52"/>
        <v>590</v>
      </c>
      <c r="N94" s="7">
        <f t="shared" si="52"/>
        <v>620</v>
      </c>
      <c r="O94" s="7">
        <f t="shared" si="52"/>
        <v>650</v>
      </c>
      <c r="P94" s="7">
        <f t="shared" si="52"/>
        <v>680</v>
      </c>
      <c r="Q94" s="7">
        <f t="shared" si="52"/>
        <v>0</v>
      </c>
      <c r="R94" s="7">
        <f t="shared" si="52"/>
        <v>0</v>
      </c>
      <c r="S94" s="7">
        <f t="shared" si="52"/>
        <v>0</v>
      </c>
      <c r="T94" s="7">
        <f t="shared" si="52"/>
        <v>0</v>
      </c>
      <c r="U94" s="7">
        <f t="shared" si="52"/>
        <v>0</v>
      </c>
      <c r="V94" s="7">
        <f t="shared" si="52"/>
        <v>0</v>
      </c>
      <c r="W94" s="7">
        <f t="shared" si="52"/>
        <v>0</v>
      </c>
      <c r="X94" s="7">
        <f t="shared" si="52"/>
        <v>0</v>
      </c>
      <c r="Y94" s="7">
        <f t="shared" si="52"/>
        <v>0</v>
      </c>
      <c r="Z94" s="7">
        <f t="shared" si="52"/>
        <v>0</v>
      </c>
    </row>
    <row r="95" spans="2:26" x14ac:dyDescent="0.25">
      <c r="B95">
        <v>420</v>
      </c>
      <c r="D95" s="7">
        <f t="shared" ref="D95:Z95" si="53">(D$74+$B95/2)*IF(D26=0,0,1)</f>
        <v>0</v>
      </c>
      <c r="E95" s="7">
        <f t="shared" si="53"/>
        <v>0</v>
      </c>
      <c r="F95" s="7">
        <f t="shared" si="53"/>
        <v>0</v>
      </c>
      <c r="G95" s="7">
        <f t="shared" si="53"/>
        <v>0</v>
      </c>
      <c r="H95" s="7">
        <f t="shared" si="53"/>
        <v>0</v>
      </c>
      <c r="I95" s="7">
        <f t="shared" si="53"/>
        <v>0</v>
      </c>
      <c r="J95" s="7">
        <f t="shared" si="53"/>
        <v>0</v>
      </c>
      <c r="K95" s="7">
        <f t="shared" si="53"/>
        <v>0</v>
      </c>
      <c r="L95" s="7">
        <f t="shared" si="53"/>
        <v>570</v>
      </c>
      <c r="M95" s="7">
        <f t="shared" si="53"/>
        <v>600</v>
      </c>
      <c r="N95" s="7">
        <f t="shared" si="53"/>
        <v>630</v>
      </c>
      <c r="O95" s="7">
        <f t="shared" si="53"/>
        <v>660</v>
      </c>
      <c r="P95" s="7">
        <f t="shared" si="53"/>
        <v>690</v>
      </c>
      <c r="Q95" s="7">
        <f t="shared" si="53"/>
        <v>0</v>
      </c>
      <c r="R95" s="7">
        <f t="shared" si="53"/>
        <v>0</v>
      </c>
      <c r="S95" s="7">
        <f t="shared" si="53"/>
        <v>0</v>
      </c>
      <c r="T95" s="7">
        <f t="shared" si="53"/>
        <v>0</v>
      </c>
      <c r="U95" s="7">
        <f t="shared" si="53"/>
        <v>0</v>
      </c>
      <c r="V95" s="7">
        <f t="shared" si="53"/>
        <v>0</v>
      </c>
      <c r="W95" s="7">
        <f t="shared" si="53"/>
        <v>0</v>
      </c>
      <c r="X95" s="7">
        <f t="shared" si="53"/>
        <v>0</v>
      </c>
      <c r="Y95" s="7">
        <f t="shared" si="53"/>
        <v>0</v>
      </c>
      <c r="Z95" s="7">
        <f t="shared" si="53"/>
        <v>0</v>
      </c>
    </row>
    <row r="96" spans="2:26" x14ac:dyDescent="0.25">
      <c r="B96">
        <v>440</v>
      </c>
      <c r="D96" s="7">
        <f t="shared" ref="D96:Z96" si="54">(D$74+$B96/2)*IF(D27=0,0,1)</f>
        <v>0</v>
      </c>
      <c r="E96" s="7">
        <f t="shared" si="54"/>
        <v>0</v>
      </c>
      <c r="F96" s="7">
        <f t="shared" si="54"/>
        <v>0</v>
      </c>
      <c r="G96" s="7">
        <f t="shared" si="54"/>
        <v>0</v>
      </c>
      <c r="H96" s="7">
        <f t="shared" si="54"/>
        <v>0</v>
      </c>
      <c r="I96" s="7">
        <f t="shared" si="54"/>
        <v>0</v>
      </c>
      <c r="J96" s="7">
        <f t="shared" si="54"/>
        <v>0</v>
      </c>
      <c r="K96" s="7">
        <f t="shared" si="54"/>
        <v>0</v>
      </c>
      <c r="L96" s="7">
        <f t="shared" si="54"/>
        <v>0</v>
      </c>
      <c r="M96" s="7">
        <f t="shared" si="54"/>
        <v>610</v>
      </c>
      <c r="N96" s="7">
        <f t="shared" si="54"/>
        <v>640</v>
      </c>
      <c r="O96" s="7">
        <f t="shared" si="54"/>
        <v>670</v>
      </c>
      <c r="P96" s="7">
        <f t="shared" si="54"/>
        <v>700</v>
      </c>
      <c r="Q96" s="7">
        <f t="shared" si="54"/>
        <v>0</v>
      </c>
      <c r="R96" s="7">
        <f t="shared" si="54"/>
        <v>0</v>
      </c>
      <c r="S96" s="7">
        <f t="shared" si="54"/>
        <v>0</v>
      </c>
      <c r="T96" s="7">
        <f t="shared" si="54"/>
        <v>0</v>
      </c>
      <c r="U96" s="7">
        <f t="shared" si="54"/>
        <v>0</v>
      </c>
      <c r="V96" s="7">
        <f t="shared" si="54"/>
        <v>0</v>
      </c>
      <c r="W96" s="7">
        <f t="shared" si="54"/>
        <v>0</v>
      </c>
      <c r="X96" s="7">
        <f t="shared" si="54"/>
        <v>0</v>
      </c>
      <c r="Y96" s="7">
        <f t="shared" si="54"/>
        <v>0</v>
      </c>
      <c r="Z96" s="7">
        <f t="shared" si="54"/>
        <v>0</v>
      </c>
    </row>
    <row r="97" spans="2:26" x14ac:dyDescent="0.25">
      <c r="B97">
        <v>460</v>
      </c>
      <c r="D97" s="7">
        <f t="shared" ref="D97:Z97" si="55">(D$74+$B97/2)*IF(D28=0,0,1)</f>
        <v>0</v>
      </c>
      <c r="E97" s="7">
        <f t="shared" si="55"/>
        <v>0</v>
      </c>
      <c r="F97" s="7">
        <f t="shared" si="55"/>
        <v>0</v>
      </c>
      <c r="G97" s="7">
        <f t="shared" si="55"/>
        <v>0</v>
      </c>
      <c r="H97" s="7">
        <f t="shared" si="55"/>
        <v>0</v>
      </c>
      <c r="I97" s="7">
        <f t="shared" si="55"/>
        <v>0</v>
      </c>
      <c r="J97" s="7">
        <f t="shared" si="55"/>
        <v>0</v>
      </c>
      <c r="K97" s="7">
        <f t="shared" si="55"/>
        <v>0</v>
      </c>
      <c r="L97" s="7">
        <f t="shared" si="55"/>
        <v>0</v>
      </c>
      <c r="M97" s="7">
        <f t="shared" si="55"/>
        <v>620</v>
      </c>
      <c r="N97" s="7">
        <f t="shared" si="55"/>
        <v>650</v>
      </c>
      <c r="O97" s="7">
        <f t="shared" si="55"/>
        <v>680</v>
      </c>
      <c r="P97" s="7">
        <f t="shared" si="55"/>
        <v>710</v>
      </c>
      <c r="Q97" s="7">
        <f t="shared" si="55"/>
        <v>740</v>
      </c>
      <c r="R97" s="7">
        <f t="shared" si="55"/>
        <v>0</v>
      </c>
      <c r="S97" s="7">
        <f t="shared" si="55"/>
        <v>0</v>
      </c>
      <c r="T97" s="7">
        <f t="shared" si="55"/>
        <v>0</v>
      </c>
      <c r="U97" s="7">
        <f t="shared" si="55"/>
        <v>0</v>
      </c>
      <c r="V97" s="7">
        <f t="shared" si="55"/>
        <v>0</v>
      </c>
      <c r="W97" s="7">
        <f t="shared" si="55"/>
        <v>0</v>
      </c>
      <c r="X97" s="7">
        <f t="shared" si="55"/>
        <v>0</v>
      </c>
      <c r="Y97" s="7">
        <f t="shared" si="55"/>
        <v>0</v>
      </c>
      <c r="Z97" s="7">
        <f t="shared" si="55"/>
        <v>0</v>
      </c>
    </row>
    <row r="98" spans="2:26" x14ac:dyDescent="0.25">
      <c r="B98">
        <v>480</v>
      </c>
      <c r="D98" s="7">
        <f t="shared" ref="D98:Z98" si="56">(D$74+$B98/2)*IF(D29=0,0,1)</f>
        <v>0</v>
      </c>
      <c r="E98" s="7">
        <f t="shared" si="56"/>
        <v>0</v>
      </c>
      <c r="F98" s="7">
        <f t="shared" si="56"/>
        <v>0</v>
      </c>
      <c r="G98" s="7">
        <f t="shared" si="56"/>
        <v>0</v>
      </c>
      <c r="H98" s="7">
        <f t="shared" si="56"/>
        <v>0</v>
      </c>
      <c r="I98" s="7">
        <f t="shared" si="56"/>
        <v>0</v>
      </c>
      <c r="J98" s="7">
        <f t="shared" si="56"/>
        <v>0</v>
      </c>
      <c r="K98" s="7">
        <f t="shared" si="56"/>
        <v>0</v>
      </c>
      <c r="L98" s="7">
        <f t="shared" si="56"/>
        <v>0</v>
      </c>
      <c r="M98" s="7">
        <f t="shared" si="56"/>
        <v>630</v>
      </c>
      <c r="N98" s="7">
        <f t="shared" si="56"/>
        <v>660</v>
      </c>
      <c r="O98" s="7">
        <f t="shared" si="56"/>
        <v>690</v>
      </c>
      <c r="P98" s="7">
        <f t="shared" si="56"/>
        <v>0</v>
      </c>
      <c r="Q98" s="7">
        <f t="shared" si="56"/>
        <v>0</v>
      </c>
      <c r="R98" s="7">
        <f t="shared" si="56"/>
        <v>0</v>
      </c>
      <c r="S98" s="7">
        <f t="shared" si="56"/>
        <v>0</v>
      </c>
      <c r="T98" s="7">
        <f t="shared" si="56"/>
        <v>0</v>
      </c>
      <c r="U98" s="7">
        <f t="shared" si="56"/>
        <v>0</v>
      </c>
      <c r="V98" s="7">
        <f t="shared" si="56"/>
        <v>0</v>
      </c>
      <c r="W98" s="7">
        <f t="shared" si="56"/>
        <v>0</v>
      </c>
      <c r="X98" s="7">
        <f t="shared" si="56"/>
        <v>0</v>
      </c>
      <c r="Y98" s="7">
        <f t="shared" si="56"/>
        <v>0</v>
      </c>
      <c r="Z98" s="7">
        <f t="shared" si="56"/>
        <v>0</v>
      </c>
    </row>
    <row r="99" spans="2:26" x14ac:dyDescent="0.25">
      <c r="B99">
        <v>500</v>
      </c>
      <c r="D99" s="7">
        <f t="shared" ref="D99:Z99" si="57">(D$74+$B99/2)*IF(D30=0,0,1)</f>
        <v>0</v>
      </c>
      <c r="E99" s="7">
        <f t="shared" si="57"/>
        <v>0</v>
      </c>
      <c r="F99" s="7">
        <f t="shared" si="57"/>
        <v>0</v>
      </c>
      <c r="G99" s="7">
        <f t="shared" si="57"/>
        <v>0</v>
      </c>
      <c r="H99" s="7">
        <f t="shared" si="57"/>
        <v>0</v>
      </c>
      <c r="I99" s="7">
        <f t="shared" si="57"/>
        <v>0</v>
      </c>
      <c r="J99" s="7">
        <f t="shared" si="57"/>
        <v>0</v>
      </c>
      <c r="K99" s="7">
        <f t="shared" si="57"/>
        <v>0</v>
      </c>
      <c r="L99" s="7">
        <f t="shared" si="57"/>
        <v>0</v>
      </c>
      <c r="M99" s="7">
        <f t="shared" si="57"/>
        <v>640</v>
      </c>
      <c r="N99" s="7">
        <f t="shared" si="57"/>
        <v>670</v>
      </c>
      <c r="O99" s="7">
        <f t="shared" si="57"/>
        <v>700</v>
      </c>
      <c r="P99" s="7">
        <f t="shared" si="57"/>
        <v>0</v>
      </c>
      <c r="Q99" s="7">
        <f t="shared" si="57"/>
        <v>0</v>
      </c>
      <c r="R99" s="7">
        <f t="shared" si="57"/>
        <v>0</v>
      </c>
      <c r="S99" s="7">
        <f t="shared" si="57"/>
        <v>0</v>
      </c>
      <c r="T99" s="7">
        <f t="shared" si="57"/>
        <v>0</v>
      </c>
      <c r="U99" s="7">
        <f t="shared" si="57"/>
        <v>0</v>
      </c>
      <c r="V99" s="7">
        <f t="shared" si="57"/>
        <v>0</v>
      </c>
      <c r="W99" s="7">
        <f t="shared" si="57"/>
        <v>0</v>
      </c>
      <c r="X99" s="7">
        <f t="shared" si="57"/>
        <v>0</v>
      </c>
      <c r="Y99" s="7">
        <f t="shared" si="57"/>
        <v>0</v>
      </c>
      <c r="Z99" s="7">
        <f t="shared" si="57"/>
        <v>0</v>
      </c>
    </row>
    <row r="100" spans="2:26" x14ac:dyDescent="0.25">
      <c r="B100">
        <v>520</v>
      </c>
      <c r="D100" s="7">
        <f t="shared" ref="D100:Z100" si="58">(D$74+$B100/2)*IF(D31=0,0,1)</f>
        <v>0</v>
      </c>
      <c r="E100" s="7">
        <f t="shared" si="58"/>
        <v>0</v>
      </c>
      <c r="F100" s="7">
        <f t="shared" si="58"/>
        <v>0</v>
      </c>
      <c r="G100" s="7">
        <f t="shared" si="58"/>
        <v>0</v>
      </c>
      <c r="H100" s="7">
        <f t="shared" si="58"/>
        <v>0</v>
      </c>
      <c r="I100" s="7">
        <f t="shared" si="58"/>
        <v>0</v>
      </c>
      <c r="J100" s="7">
        <f t="shared" si="58"/>
        <v>0</v>
      </c>
      <c r="K100" s="7">
        <f t="shared" si="58"/>
        <v>0</v>
      </c>
      <c r="L100" s="7">
        <f t="shared" si="58"/>
        <v>0</v>
      </c>
      <c r="M100" s="7">
        <f t="shared" si="58"/>
        <v>0</v>
      </c>
      <c r="N100" s="7">
        <f t="shared" si="58"/>
        <v>680</v>
      </c>
      <c r="O100" s="7">
        <f t="shared" si="58"/>
        <v>710</v>
      </c>
      <c r="P100" s="7">
        <f t="shared" si="58"/>
        <v>0</v>
      </c>
      <c r="Q100" s="7">
        <f t="shared" si="58"/>
        <v>0</v>
      </c>
      <c r="R100" s="7">
        <f t="shared" si="58"/>
        <v>0</v>
      </c>
      <c r="S100" s="7">
        <f t="shared" si="58"/>
        <v>0</v>
      </c>
      <c r="T100" s="7">
        <f t="shared" si="58"/>
        <v>0</v>
      </c>
      <c r="U100" s="7">
        <f t="shared" si="58"/>
        <v>0</v>
      </c>
      <c r="V100" s="7">
        <f t="shared" si="58"/>
        <v>0</v>
      </c>
      <c r="W100" s="7">
        <f t="shared" si="58"/>
        <v>0</v>
      </c>
      <c r="X100" s="7">
        <f t="shared" si="58"/>
        <v>0</v>
      </c>
      <c r="Y100" s="7">
        <f t="shared" si="58"/>
        <v>0</v>
      </c>
      <c r="Z100" s="7">
        <f t="shared" si="58"/>
        <v>0</v>
      </c>
    </row>
    <row r="101" spans="2:26" x14ac:dyDescent="0.25">
      <c r="B101">
        <v>540</v>
      </c>
      <c r="D101" s="7">
        <f t="shared" ref="D101:Z101" si="59">(D$74+$B101/2)*IF(D32=0,0,1)</f>
        <v>0</v>
      </c>
      <c r="E101" s="7">
        <f t="shared" si="59"/>
        <v>0</v>
      </c>
      <c r="F101" s="7">
        <f t="shared" si="59"/>
        <v>0</v>
      </c>
      <c r="G101" s="7">
        <f t="shared" si="59"/>
        <v>0</v>
      </c>
      <c r="H101" s="7">
        <f t="shared" si="59"/>
        <v>0</v>
      </c>
      <c r="I101" s="7">
        <f t="shared" si="59"/>
        <v>0</v>
      </c>
      <c r="J101" s="7">
        <f t="shared" si="59"/>
        <v>0</v>
      </c>
      <c r="K101" s="7">
        <f t="shared" si="59"/>
        <v>0</v>
      </c>
      <c r="L101" s="7">
        <f t="shared" si="59"/>
        <v>0</v>
      </c>
      <c r="M101" s="7">
        <f t="shared" si="59"/>
        <v>0</v>
      </c>
      <c r="N101" s="7">
        <f t="shared" si="59"/>
        <v>690</v>
      </c>
      <c r="O101" s="7">
        <f t="shared" si="59"/>
        <v>720</v>
      </c>
      <c r="P101" s="7">
        <f t="shared" si="59"/>
        <v>0</v>
      </c>
      <c r="Q101" s="7">
        <f t="shared" si="59"/>
        <v>0</v>
      </c>
      <c r="R101" s="7">
        <f t="shared" si="59"/>
        <v>0</v>
      </c>
      <c r="S101" s="7">
        <f t="shared" si="59"/>
        <v>0</v>
      </c>
      <c r="T101" s="7">
        <f t="shared" si="59"/>
        <v>0</v>
      </c>
      <c r="U101" s="7">
        <f t="shared" si="59"/>
        <v>0</v>
      </c>
      <c r="V101" s="7">
        <f t="shared" si="59"/>
        <v>0</v>
      </c>
      <c r="W101" s="7">
        <f t="shared" si="59"/>
        <v>0</v>
      </c>
      <c r="X101" s="7">
        <f t="shared" si="59"/>
        <v>0</v>
      </c>
      <c r="Y101" s="7">
        <f t="shared" si="59"/>
        <v>0</v>
      </c>
      <c r="Z101" s="7">
        <f t="shared" si="59"/>
        <v>0</v>
      </c>
    </row>
    <row r="102" spans="2:26" x14ac:dyDescent="0.25">
      <c r="B102">
        <v>560</v>
      </c>
      <c r="D102" s="7">
        <f t="shared" ref="D102:Z102" si="60">(D$74+$B102/2)*IF(D33=0,0,1)</f>
        <v>0</v>
      </c>
      <c r="E102" s="7">
        <f t="shared" si="60"/>
        <v>0</v>
      </c>
      <c r="F102" s="7">
        <f t="shared" si="60"/>
        <v>0</v>
      </c>
      <c r="G102" s="7">
        <f t="shared" si="60"/>
        <v>0</v>
      </c>
      <c r="H102" s="7">
        <f t="shared" si="60"/>
        <v>0</v>
      </c>
      <c r="I102" s="7">
        <f t="shared" si="60"/>
        <v>0</v>
      </c>
      <c r="J102" s="7">
        <f t="shared" si="60"/>
        <v>0</v>
      </c>
      <c r="K102" s="7">
        <f t="shared" si="60"/>
        <v>0</v>
      </c>
      <c r="L102" s="7">
        <f t="shared" si="60"/>
        <v>0</v>
      </c>
      <c r="M102" s="7">
        <f t="shared" si="60"/>
        <v>0</v>
      </c>
      <c r="N102" s="7">
        <f t="shared" si="60"/>
        <v>700</v>
      </c>
      <c r="O102" s="7">
        <f t="shared" si="60"/>
        <v>730</v>
      </c>
      <c r="P102" s="7">
        <f t="shared" si="60"/>
        <v>0</v>
      </c>
      <c r="Q102" s="7">
        <f t="shared" si="60"/>
        <v>0</v>
      </c>
      <c r="R102" s="7">
        <f t="shared" si="60"/>
        <v>0</v>
      </c>
      <c r="S102" s="7">
        <f t="shared" si="60"/>
        <v>0</v>
      </c>
      <c r="T102" s="7">
        <f t="shared" si="60"/>
        <v>0</v>
      </c>
      <c r="U102" s="7">
        <f t="shared" si="60"/>
        <v>0</v>
      </c>
      <c r="V102" s="7">
        <f t="shared" si="60"/>
        <v>0</v>
      </c>
      <c r="W102" s="7">
        <f t="shared" si="60"/>
        <v>0</v>
      </c>
      <c r="X102" s="7">
        <f t="shared" si="60"/>
        <v>0</v>
      </c>
      <c r="Y102" s="7">
        <f t="shared" si="60"/>
        <v>0</v>
      </c>
      <c r="Z102" s="7">
        <f t="shared" si="60"/>
        <v>0</v>
      </c>
    </row>
    <row r="103" spans="2:26" x14ac:dyDescent="0.25">
      <c r="B103">
        <v>580</v>
      </c>
      <c r="D103" s="7">
        <f t="shared" ref="D103:Z103" si="61">(D$74+$B103/2)*IF(D34=0,0,1)</f>
        <v>0</v>
      </c>
      <c r="E103" s="7">
        <f t="shared" si="61"/>
        <v>0</v>
      </c>
      <c r="F103" s="7">
        <f t="shared" si="61"/>
        <v>0</v>
      </c>
      <c r="G103" s="7">
        <f t="shared" si="61"/>
        <v>0</v>
      </c>
      <c r="H103" s="7">
        <f t="shared" si="61"/>
        <v>0</v>
      </c>
      <c r="I103" s="7">
        <f t="shared" si="61"/>
        <v>0</v>
      </c>
      <c r="J103" s="7">
        <f t="shared" si="61"/>
        <v>0</v>
      </c>
      <c r="K103" s="7">
        <f t="shared" si="61"/>
        <v>0</v>
      </c>
      <c r="L103" s="7">
        <f t="shared" si="61"/>
        <v>0</v>
      </c>
      <c r="M103" s="7">
        <f t="shared" si="61"/>
        <v>0</v>
      </c>
      <c r="N103" s="7">
        <f t="shared" si="61"/>
        <v>710</v>
      </c>
      <c r="O103" s="7">
        <f t="shared" si="61"/>
        <v>740</v>
      </c>
      <c r="P103" s="7">
        <f t="shared" si="61"/>
        <v>0</v>
      </c>
      <c r="Q103" s="7">
        <f t="shared" si="61"/>
        <v>0</v>
      </c>
      <c r="R103" s="7">
        <f t="shared" si="61"/>
        <v>0</v>
      </c>
      <c r="S103" s="7">
        <f t="shared" si="61"/>
        <v>0</v>
      </c>
      <c r="T103" s="7">
        <f t="shared" si="61"/>
        <v>0</v>
      </c>
      <c r="U103" s="7">
        <f t="shared" si="61"/>
        <v>0</v>
      </c>
      <c r="V103" s="7">
        <f t="shared" si="61"/>
        <v>0</v>
      </c>
      <c r="W103" s="7">
        <f t="shared" si="61"/>
        <v>0</v>
      </c>
      <c r="X103" s="7">
        <f t="shared" si="61"/>
        <v>0</v>
      </c>
      <c r="Y103" s="7">
        <f t="shared" si="61"/>
        <v>0</v>
      </c>
      <c r="Z103" s="7">
        <f t="shared" si="61"/>
        <v>0</v>
      </c>
    </row>
    <row r="104" spans="2:26" x14ac:dyDescent="0.25">
      <c r="B104">
        <v>600</v>
      </c>
      <c r="D104" s="7">
        <f t="shared" ref="D104:Z104" si="62">(D$74+$B104/2)*IF(D35=0,0,1)</f>
        <v>0</v>
      </c>
      <c r="E104" s="7">
        <f t="shared" si="62"/>
        <v>0</v>
      </c>
      <c r="F104" s="7">
        <f t="shared" si="62"/>
        <v>0</v>
      </c>
      <c r="G104" s="7">
        <f t="shared" si="62"/>
        <v>0</v>
      </c>
      <c r="H104" s="7">
        <f t="shared" si="62"/>
        <v>0</v>
      </c>
      <c r="I104" s="7">
        <f t="shared" si="62"/>
        <v>0</v>
      </c>
      <c r="J104" s="7">
        <f t="shared" si="62"/>
        <v>0</v>
      </c>
      <c r="K104" s="7">
        <f t="shared" si="62"/>
        <v>0</v>
      </c>
      <c r="L104" s="7">
        <f t="shared" si="62"/>
        <v>0</v>
      </c>
      <c r="M104" s="7">
        <f t="shared" si="62"/>
        <v>0</v>
      </c>
      <c r="N104" s="7">
        <f t="shared" si="62"/>
        <v>720</v>
      </c>
      <c r="O104" s="7">
        <f t="shared" si="62"/>
        <v>750</v>
      </c>
      <c r="P104" s="7">
        <f t="shared" si="62"/>
        <v>0</v>
      </c>
      <c r="Q104" s="7">
        <f t="shared" si="62"/>
        <v>0</v>
      </c>
      <c r="R104" s="7">
        <f t="shared" si="62"/>
        <v>0</v>
      </c>
      <c r="S104" s="7">
        <f t="shared" si="62"/>
        <v>0</v>
      </c>
      <c r="T104" s="7">
        <f t="shared" si="62"/>
        <v>0</v>
      </c>
      <c r="U104" s="7">
        <f t="shared" si="62"/>
        <v>0</v>
      </c>
      <c r="V104" s="7">
        <f t="shared" si="62"/>
        <v>0</v>
      </c>
      <c r="W104" s="7">
        <f t="shared" si="62"/>
        <v>0</v>
      </c>
      <c r="X104" s="7">
        <f t="shared" si="62"/>
        <v>0</v>
      </c>
      <c r="Y104" s="7">
        <f t="shared" si="62"/>
        <v>0</v>
      </c>
      <c r="Z104" s="7">
        <f t="shared" si="62"/>
        <v>0</v>
      </c>
    </row>
    <row r="105" spans="2:26" x14ac:dyDescent="0.25">
      <c r="B105">
        <v>620</v>
      </c>
      <c r="D105" s="7">
        <f t="shared" ref="D105:Z105" si="63">(D$74+$B105/2)*IF(D36=0,0,1)</f>
        <v>0</v>
      </c>
      <c r="E105" s="7">
        <f t="shared" si="63"/>
        <v>0</v>
      </c>
      <c r="F105" s="7">
        <f t="shared" si="63"/>
        <v>0</v>
      </c>
      <c r="G105" s="7">
        <f t="shared" si="63"/>
        <v>0</v>
      </c>
      <c r="H105" s="7">
        <f t="shared" si="63"/>
        <v>0</v>
      </c>
      <c r="I105" s="7">
        <f t="shared" si="63"/>
        <v>0</v>
      </c>
      <c r="J105" s="7">
        <f t="shared" si="63"/>
        <v>0</v>
      </c>
      <c r="K105" s="7">
        <f t="shared" si="63"/>
        <v>0</v>
      </c>
      <c r="L105" s="7">
        <f t="shared" si="63"/>
        <v>0</v>
      </c>
      <c r="M105" s="7">
        <f t="shared" si="63"/>
        <v>0</v>
      </c>
      <c r="N105" s="7">
        <f t="shared" si="63"/>
        <v>730</v>
      </c>
      <c r="O105" s="7">
        <f t="shared" si="63"/>
        <v>760</v>
      </c>
      <c r="P105" s="7">
        <f t="shared" si="63"/>
        <v>0</v>
      </c>
      <c r="Q105" s="7">
        <f t="shared" si="63"/>
        <v>0</v>
      </c>
      <c r="R105" s="7">
        <f t="shared" si="63"/>
        <v>0</v>
      </c>
      <c r="S105" s="7">
        <f t="shared" si="63"/>
        <v>0</v>
      </c>
      <c r="T105" s="7">
        <f t="shared" si="63"/>
        <v>0</v>
      </c>
      <c r="U105" s="7">
        <f t="shared" si="63"/>
        <v>0</v>
      </c>
      <c r="V105" s="7">
        <f t="shared" si="63"/>
        <v>0</v>
      </c>
      <c r="W105" s="7">
        <f t="shared" si="63"/>
        <v>0</v>
      </c>
      <c r="X105" s="7">
        <f t="shared" si="63"/>
        <v>0</v>
      </c>
      <c r="Y105" s="7">
        <f t="shared" si="63"/>
        <v>0</v>
      </c>
      <c r="Z105" s="7">
        <f t="shared" si="63"/>
        <v>0</v>
      </c>
    </row>
    <row r="106" spans="2:26" x14ac:dyDescent="0.25">
      <c r="B106">
        <v>640</v>
      </c>
      <c r="D106" s="7">
        <f t="shared" ref="D106:Z106" si="64">(D$74+$B106/2)*IF(D37=0,0,1)</f>
        <v>0</v>
      </c>
      <c r="E106" s="7">
        <f t="shared" si="64"/>
        <v>0</v>
      </c>
      <c r="F106" s="7">
        <f t="shared" si="64"/>
        <v>0</v>
      </c>
      <c r="G106" s="7">
        <f t="shared" si="64"/>
        <v>0</v>
      </c>
      <c r="H106" s="7">
        <f t="shared" si="64"/>
        <v>0</v>
      </c>
      <c r="I106" s="7">
        <f t="shared" si="64"/>
        <v>0</v>
      </c>
      <c r="J106" s="7">
        <f t="shared" si="64"/>
        <v>0</v>
      </c>
      <c r="K106" s="7">
        <f t="shared" si="64"/>
        <v>0</v>
      </c>
      <c r="L106" s="7">
        <f t="shared" si="64"/>
        <v>0</v>
      </c>
      <c r="M106" s="7">
        <f t="shared" si="64"/>
        <v>0</v>
      </c>
      <c r="N106" s="7">
        <f t="shared" si="64"/>
        <v>0</v>
      </c>
      <c r="O106" s="7">
        <f t="shared" si="64"/>
        <v>0</v>
      </c>
      <c r="P106" s="7">
        <f t="shared" si="64"/>
        <v>0</v>
      </c>
      <c r="Q106" s="7">
        <f t="shared" si="64"/>
        <v>0</v>
      </c>
      <c r="R106" s="7">
        <f t="shared" si="64"/>
        <v>0</v>
      </c>
      <c r="S106" s="7">
        <f t="shared" si="64"/>
        <v>0</v>
      </c>
      <c r="T106" s="7">
        <f t="shared" si="64"/>
        <v>0</v>
      </c>
      <c r="U106" s="7">
        <f t="shared" si="64"/>
        <v>0</v>
      </c>
      <c r="V106" s="7">
        <f t="shared" si="64"/>
        <v>0</v>
      </c>
      <c r="W106" s="7">
        <f t="shared" si="64"/>
        <v>0</v>
      </c>
      <c r="X106" s="7">
        <f t="shared" si="64"/>
        <v>0</v>
      </c>
      <c r="Y106" s="7">
        <f t="shared" si="64"/>
        <v>0</v>
      </c>
      <c r="Z106" s="7">
        <f t="shared" si="64"/>
        <v>0</v>
      </c>
    </row>
  </sheetData>
  <mergeCells count="3">
    <mergeCell ref="A5:A17"/>
    <mergeCell ref="A3:C3"/>
    <mergeCell ref="B4:Z4"/>
  </mergeCells>
  <conditionalFormatting sqref="C6:C37">
    <cfRule type="colorScale" priority="3">
      <colorScale>
        <cfvo type="min"/>
        <cfvo type="num" val="10000000"/>
        <color rgb="FFFCFCFF"/>
        <color rgb="FFF8696B"/>
      </colorScale>
    </cfRule>
  </conditionalFormatting>
  <conditionalFormatting sqref="D6:O1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U2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Y2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:Z3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1:Z72">
    <cfRule type="colorScale" priority="2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D75:Z106">
    <cfRule type="colorScale" priority="1">
      <colorScale>
        <cfvo type="min"/>
        <cfvo type="num" val="0"/>
        <cfvo type="max"/>
        <color rgb="FF63BE7B"/>
        <color rgb="FFFCFCFF"/>
        <color rgb="FFF8696B"/>
      </colorScale>
    </cfRule>
  </conditionalFormatting>
  <conditionalFormatting sqref="D2:AQ3 AA6:AQ39 AB5:AQ5 AA4:AQ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Y11 H12:U18 J19:R27 L28:Q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876B-40E7-4E09-B6DB-055219FE1B77}">
  <dimension ref="A1:P416"/>
  <sheetViews>
    <sheetView topLeftCell="A4" workbookViewId="0">
      <selection activeCell="S14" sqref="S14"/>
    </sheetView>
  </sheetViews>
  <sheetFormatPr defaultRowHeight="15" x14ac:dyDescent="0.25"/>
  <cols>
    <col min="1" max="1" width="18.140625" customWidth="1"/>
    <col min="4" max="4" width="15.28515625" bestFit="1" customWidth="1"/>
    <col min="15" max="15" width="22" customWidth="1"/>
    <col min="16" max="16" width="10.28515625" bestFit="1" customWidth="1"/>
  </cols>
  <sheetData>
    <row r="1" spans="1:16" x14ac:dyDescent="0.25">
      <c r="A1" s="16" t="s">
        <v>15</v>
      </c>
      <c r="B1" s="16"/>
      <c r="D1" s="16" t="s">
        <v>16</v>
      </c>
      <c r="E1" s="16"/>
    </row>
    <row r="2" spans="1:16" x14ac:dyDescent="0.25">
      <c r="A2" t="s">
        <v>17</v>
      </c>
      <c r="B2" t="s">
        <v>18</v>
      </c>
      <c r="D2" s="5" t="s">
        <v>17</v>
      </c>
      <c r="E2" s="5" t="s">
        <v>18</v>
      </c>
      <c r="O2" s="8"/>
    </row>
    <row r="3" spans="1:16" x14ac:dyDescent="0.25">
      <c r="A3" s="9">
        <v>0</v>
      </c>
      <c r="B3" s="10">
        <v>0</v>
      </c>
      <c r="D3" s="9">
        <v>0</v>
      </c>
      <c r="E3" s="10">
        <v>0</v>
      </c>
      <c r="P3" s="5"/>
    </row>
    <row r="4" spans="1:16" x14ac:dyDescent="0.25">
      <c r="A4" s="9">
        <v>1.7223803628068699E-4</v>
      </c>
      <c r="B4" s="10">
        <v>9.9995999999999992</v>
      </c>
      <c r="D4" s="9">
        <v>1.64845160103026E-4</v>
      </c>
      <c r="E4" s="10">
        <v>10</v>
      </c>
      <c r="P4" s="5"/>
    </row>
    <row r="5" spans="1:16" x14ac:dyDescent="0.25">
      <c r="A5" s="9">
        <v>4.09159304496551E-4</v>
      </c>
      <c r="B5" s="10">
        <v>19.999199999999998</v>
      </c>
      <c r="D5" s="9">
        <v>3.8333489819057599E-4</v>
      </c>
      <c r="E5" s="10">
        <v>20</v>
      </c>
      <c r="P5" s="5"/>
    </row>
    <row r="6" spans="1:16" x14ac:dyDescent="0.25">
      <c r="A6" s="9">
        <v>6.8968105234067404E-4</v>
      </c>
      <c r="B6" s="10">
        <v>29.998799999999999</v>
      </c>
      <c r="D6" s="9">
        <v>6.3799984797144305E-4</v>
      </c>
      <c r="E6" s="10">
        <v>30</v>
      </c>
      <c r="P6" s="5"/>
    </row>
    <row r="7" spans="1:16" x14ac:dyDescent="0.25">
      <c r="A7" s="9">
        <v>1.05541600739645E-3</v>
      </c>
      <c r="B7" s="10">
        <v>39.998399999999997</v>
      </c>
      <c r="D7" s="9">
        <v>9.2662601429247405E-4</v>
      </c>
      <c r="E7" s="10">
        <v>40</v>
      </c>
      <c r="P7" s="5"/>
    </row>
    <row r="8" spans="1:16" x14ac:dyDescent="0.25">
      <c r="A8" s="9">
        <v>1.41994429816014E-3</v>
      </c>
      <c r="B8" s="10">
        <v>49.997999999999998</v>
      </c>
      <c r="D8" s="9">
        <v>1.24707243288102E-3</v>
      </c>
      <c r="E8" s="10">
        <v>50</v>
      </c>
      <c r="P8" s="5"/>
    </row>
    <row r="9" spans="1:16" x14ac:dyDescent="0.25">
      <c r="A9" s="9">
        <v>1.8166003957067801E-3</v>
      </c>
      <c r="B9" s="10">
        <v>59.997599999999998</v>
      </c>
      <c r="D9" s="9">
        <v>1.5830561445549301E-3</v>
      </c>
      <c r="E9" s="10">
        <v>60</v>
      </c>
      <c r="P9" s="5"/>
    </row>
    <row r="10" spans="1:16" x14ac:dyDescent="0.25">
      <c r="A10" s="9">
        <v>2.2333256208924299E-3</v>
      </c>
      <c r="B10" s="10">
        <v>69.997200000000007</v>
      </c>
      <c r="D10" s="9">
        <v>1.9475552853925201E-3</v>
      </c>
      <c r="E10" s="10">
        <v>70</v>
      </c>
      <c r="P10" s="5"/>
    </row>
    <row r="11" spans="1:16" x14ac:dyDescent="0.25">
      <c r="A11" s="9">
        <v>2.6743258658809802E-3</v>
      </c>
      <c r="B11" s="10">
        <v>79.996799999999993</v>
      </c>
      <c r="D11" s="9">
        <v>2.33523607309968E-3</v>
      </c>
      <c r="E11" s="10">
        <v>80</v>
      </c>
    </row>
    <row r="12" spans="1:16" x14ac:dyDescent="0.25">
      <c r="A12" s="9">
        <v>3.1307692167024601E-3</v>
      </c>
      <c r="B12" s="10">
        <v>89.996399999999994</v>
      </c>
      <c r="D12" s="9">
        <v>2.7321743706412798E-3</v>
      </c>
      <c r="E12" s="10">
        <v>90</v>
      </c>
      <c r="O12" s="17"/>
      <c r="P12" s="17"/>
    </row>
    <row r="13" spans="1:16" x14ac:dyDescent="0.25">
      <c r="A13" s="9">
        <v>3.5987373076418199E-3</v>
      </c>
      <c r="B13" s="10">
        <v>99.995999999999995</v>
      </c>
      <c r="D13" s="9">
        <v>3.14690019170541E-3</v>
      </c>
      <c r="E13" s="10">
        <v>100</v>
      </c>
      <c r="P13" s="5"/>
    </row>
    <row r="14" spans="1:16" x14ac:dyDescent="0.25">
      <c r="A14" s="9">
        <v>4.0799112471276303E-3</v>
      </c>
      <c r="B14" s="10">
        <v>109.9956</v>
      </c>
      <c r="D14" s="9">
        <v>3.58676666314507E-3</v>
      </c>
      <c r="E14" s="10">
        <v>110</v>
      </c>
      <c r="P14" s="5"/>
    </row>
    <row r="15" spans="1:16" x14ac:dyDescent="0.25">
      <c r="A15" s="9">
        <v>4.5772187154678899E-3</v>
      </c>
      <c r="B15" s="10">
        <v>119.9952</v>
      </c>
      <c r="D15" s="9">
        <v>4.0335861493378403E-3</v>
      </c>
      <c r="E15" s="10">
        <v>120</v>
      </c>
      <c r="P15" s="5"/>
    </row>
    <row r="16" spans="1:16" x14ac:dyDescent="0.25">
      <c r="A16" s="9">
        <v>5.0845908992861897E-3</v>
      </c>
      <c r="B16" s="10">
        <v>129.9948</v>
      </c>
      <c r="D16" s="9">
        <v>4.48655098628962E-3</v>
      </c>
      <c r="E16" s="10">
        <v>130</v>
      </c>
    </row>
    <row r="17" spans="1:5" x14ac:dyDescent="0.25">
      <c r="A17" s="9">
        <v>5.6039316153948396E-3</v>
      </c>
      <c r="B17" s="10">
        <v>139.99440000000001</v>
      </c>
      <c r="D17" s="9">
        <v>4.9516148169742999E-3</v>
      </c>
      <c r="E17" s="10">
        <v>140</v>
      </c>
    </row>
    <row r="18" spans="1:5" x14ac:dyDescent="0.25">
      <c r="A18" s="9">
        <v>6.1210072937517004E-3</v>
      </c>
      <c r="B18" s="10">
        <v>149.994</v>
      </c>
      <c r="D18" s="9">
        <v>5.4266776793497999E-3</v>
      </c>
      <c r="E18" s="10">
        <v>150</v>
      </c>
    </row>
    <row r="19" spans="1:5" x14ac:dyDescent="0.25">
      <c r="A19" s="9">
        <v>6.64228699217893E-3</v>
      </c>
      <c r="B19" s="10">
        <v>159.99359999999999</v>
      </c>
      <c r="D19" s="9">
        <v>5.9087410876771697E-3</v>
      </c>
      <c r="E19" s="10">
        <v>160</v>
      </c>
    </row>
    <row r="20" spans="1:5" x14ac:dyDescent="0.25">
      <c r="A20" s="9">
        <v>7.1914917635829897E-3</v>
      </c>
      <c r="B20" s="10">
        <v>169.9932</v>
      </c>
      <c r="D20" s="9">
        <v>6.39832105726459E-3</v>
      </c>
      <c r="E20" s="10">
        <v>170</v>
      </c>
    </row>
    <row r="21" spans="1:5" x14ac:dyDescent="0.25">
      <c r="A21" s="9">
        <v>7.7284043820053097E-3</v>
      </c>
      <c r="B21" s="10">
        <v>179.99279999999999</v>
      </c>
      <c r="D21" s="9">
        <v>6.9026116121996004E-3</v>
      </c>
      <c r="E21" s="10">
        <v>180</v>
      </c>
    </row>
    <row r="22" spans="1:5" x14ac:dyDescent="0.25">
      <c r="A22" s="9">
        <v>8.2672063820620392E-3</v>
      </c>
      <c r="B22" s="10">
        <v>189.9924</v>
      </c>
      <c r="D22" s="9">
        <v>7.40393561256859E-3</v>
      </c>
      <c r="E22" s="10">
        <v>190</v>
      </c>
    </row>
    <row r="23" spans="1:5" x14ac:dyDescent="0.25">
      <c r="A23" s="9">
        <v>8.8178679588264506E-3</v>
      </c>
      <c r="B23" s="10">
        <v>199.99199999999999</v>
      </c>
      <c r="D23" s="9">
        <v>7.9152969116188902E-3</v>
      </c>
      <c r="E23" s="10">
        <v>200</v>
      </c>
    </row>
    <row r="24" spans="1:5" x14ac:dyDescent="0.25">
      <c r="A24" s="9">
        <v>9.4733986818926301E-3</v>
      </c>
      <c r="B24" s="10">
        <v>209.99160000000001</v>
      </c>
      <c r="D24" s="9">
        <v>8.4492072849401498E-3</v>
      </c>
      <c r="E24" s="10">
        <v>210</v>
      </c>
    </row>
    <row r="25" spans="1:5" x14ac:dyDescent="0.25">
      <c r="A25" s="9">
        <v>9.9658786770814405E-3</v>
      </c>
      <c r="B25" s="10">
        <v>219.99119999999999</v>
      </c>
      <c r="D25" s="9">
        <v>8.9702942545966096E-3</v>
      </c>
      <c r="E25" s="10">
        <v>220</v>
      </c>
    </row>
    <row r="26" spans="1:5" x14ac:dyDescent="0.25">
      <c r="A26" s="9">
        <v>1.05594374297577E-2</v>
      </c>
      <c r="B26" s="10">
        <v>229.99080000000001</v>
      </c>
      <c r="D26" s="9">
        <v>9.5030427271521108E-3</v>
      </c>
      <c r="E26" s="10">
        <v>230</v>
      </c>
    </row>
    <row r="27" spans="1:5" x14ac:dyDescent="0.25">
      <c r="A27" s="9">
        <v>1.1127660926180101E-2</v>
      </c>
      <c r="B27" s="10">
        <v>239.99039999999999</v>
      </c>
      <c r="D27" s="9">
        <v>1.0046753310981E-2</v>
      </c>
      <c r="E27" s="10">
        <v>240</v>
      </c>
    </row>
    <row r="28" spans="1:5" x14ac:dyDescent="0.25">
      <c r="A28" s="9">
        <v>1.17492988382304E-2</v>
      </c>
      <c r="B28" s="10">
        <v>249.99</v>
      </c>
      <c r="D28" s="9">
        <v>1.0589766947408E-2</v>
      </c>
      <c r="E28" s="10">
        <v>250</v>
      </c>
    </row>
    <row r="29" spans="1:5" x14ac:dyDescent="0.25">
      <c r="A29" s="9">
        <v>1.23012426031063E-2</v>
      </c>
      <c r="B29" s="10">
        <v>259.9896</v>
      </c>
      <c r="D29" s="9">
        <v>1.1139132425156699E-2</v>
      </c>
      <c r="E29" s="10">
        <v>260</v>
      </c>
    </row>
    <row r="30" spans="1:5" x14ac:dyDescent="0.25">
      <c r="A30" s="9">
        <v>1.28450043915061E-2</v>
      </c>
      <c r="B30" s="10">
        <v>269.98919999999998</v>
      </c>
      <c r="D30" s="9">
        <v>1.1695777500450101E-2</v>
      </c>
      <c r="E30" s="10">
        <v>270</v>
      </c>
    </row>
    <row r="31" spans="1:5" x14ac:dyDescent="0.25">
      <c r="A31" s="9">
        <v>1.3558501394210099E-2</v>
      </c>
      <c r="B31" s="10">
        <v>279.98880000000003</v>
      </c>
      <c r="D31" s="9">
        <v>1.22711508417773E-2</v>
      </c>
      <c r="E31" s="10">
        <v>280</v>
      </c>
    </row>
    <row r="32" spans="1:5" x14ac:dyDescent="0.25">
      <c r="A32" s="9">
        <v>1.4146372001731499E-2</v>
      </c>
      <c r="B32" s="10">
        <v>289.98840000000001</v>
      </c>
      <c r="D32" s="9">
        <v>1.28429679507642E-2</v>
      </c>
      <c r="E32" s="10">
        <v>290</v>
      </c>
    </row>
    <row r="33" spans="1:5" x14ac:dyDescent="0.25">
      <c r="A33" s="9">
        <v>1.46720519747031E-2</v>
      </c>
      <c r="B33" s="10">
        <v>299.988</v>
      </c>
      <c r="D33" s="9">
        <v>1.3413317899796899E-2</v>
      </c>
      <c r="E33" s="10">
        <v>300</v>
      </c>
    </row>
    <row r="34" spans="1:5" x14ac:dyDescent="0.25">
      <c r="A34" s="9">
        <v>1.5396416211291701E-2</v>
      </c>
      <c r="B34" s="10">
        <v>309.98759999999999</v>
      </c>
      <c r="D34" s="9">
        <v>1.39914839362384E-2</v>
      </c>
      <c r="E34" s="10">
        <v>310</v>
      </c>
    </row>
    <row r="35" spans="1:5" x14ac:dyDescent="0.25">
      <c r="A35" s="9">
        <v>1.59352878385518E-2</v>
      </c>
      <c r="B35" s="10">
        <v>319.98719999999997</v>
      </c>
      <c r="D35" s="9">
        <v>1.4573255058250601E-2</v>
      </c>
      <c r="E35" s="10">
        <v>320</v>
      </c>
    </row>
    <row r="36" spans="1:5" x14ac:dyDescent="0.25">
      <c r="A36" s="9">
        <v>1.66799385611371E-2</v>
      </c>
      <c r="B36" s="10">
        <v>329.98680000000002</v>
      </c>
      <c r="D36" s="9">
        <v>1.5159611952904099E-2</v>
      </c>
      <c r="E36" s="10">
        <v>330</v>
      </c>
    </row>
    <row r="37" spans="1:5" x14ac:dyDescent="0.25">
      <c r="A37" s="9">
        <v>1.7202795438894001E-2</v>
      </c>
      <c r="B37" s="10">
        <v>339.9864</v>
      </c>
      <c r="D37" s="9">
        <v>1.5754566708178899E-2</v>
      </c>
      <c r="E37" s="10">
        <v>340</v>
      </c>
    </row>
    <row r="38" spans="1:5" x14ac:dyDescent="0.25">
      <c r="A38" s="9">
        <v>1.7958877974144801E-2</v>
      </c>
      <c r="B38" s="10">
        <v>349.98599999999999</v>
      </c>
      <c r="D38" s="9">
        <v>1.6353418458388402E-2</v>
      </c>
      <c r="E38" s="10">
        <v>350</v>
      </c>
    </row>
    <row r="39" spans="1:5" x14ac:dyDescent="0.25">
      <c r="A39" s="9">
        <v>1.8382736495762102E-2</v>
      </c>
      <c r="B39" s="10">
        <v>359.98559999999998</v>
      </c>
      <c r="D39" s="9">
        <v>1.6961302133634198E-2</v>
      </c>
      <c r="E39" s="10">
        <v>360</v>
      </c>
    </row>
    <row r="40" spans="1:5" x14ac:dyDescent="0.25">
      <c r="A40" s="9">
        <v>1.9254918500177801E-2</v>
      </c>
      <c r="B40" s="10">
        <v>369.98520000000002</v>
      </c>
      <c r="D40" s="9">
        <v>1.7573450373038799E-2</v>
      </c>
      <c r="E40" s="10">
        <v>370</v>
      </c>
    </row>
    <row r="41" spans="1:5" x14ac:dyDescent="0.25">
      <c r="A41" s="9">
        <v>1.97907519627404E-2</v>
      </c>
      <c r="B41" s="10">
        <v>379.98480000000001</v>
      </c>
      <c r="D41" s="9">
        <v>1.81889044985576E-2</v>
      </c>
      <c r="E41" s="10">
        <v>380</v>
      </c>
    </row>
    <row r="42" spans="1:5" x14ac:dyDescent="0.25">
      <c r="A42" s="9">
        <v>2.05000510357458E-2</v>
      </c>
      <c r="B42" s="10">
        <v>389.98439999999999</v>
      </c>
      <c r="D42" s="9">
        <v>1.8808853297473602E-2</v>
      </c>
      <c r="E42" s="10">
        <v>390</v>
      </c>
    </row>
    <row r="43" spans="1:5" x14ac:dyDescent="0.25">
      <c r="D43" s="9">
        <v>1.9434403917261599E-2</v>
      </c>
      <c r="E43" s="10">
        <v>400</v>
      </c>
    </row>
    <row r="44" spans="1:5" x14ac:dyDescent="0.25">
      <c r="D44" s="9">
        <v>2.0063781865281301E-2</v>
      </c>
      <c r="E44" s="10">
        <v>410</v>
      </c>
    </row>
    <row r="45" spans="1:5" x14ac:dyDescent="0.25">
      <c r="D45" s="11"/>
      <c r="E45" s="11"/>
    </row>
    <row r="46" spans="1:5" x14ac:dyDescent="0.25">
      <c r="D46" s="11"/>
      <c r="E46" s="11"/>
    </row>
    <row r="47" spans="1:5" x14ac:dyDescent="0.25">
      <c r="D47" s="11"/>
      <c r="E47" s="11"/>
    </row>
    <row r="48" spans="1:5" x14ac:dyDescent="0.25">
      <c r="D48" s="11"/>
      <c r="E48" s="11"/>
    </row>
    <row r="49" spans="4:5" x14ac:dyDescent="0.25">
      <c r="D49" s="11"/>
      <c r="E49" s="11"/>
    </row>
    <row r="50" spans="4:5" x14ac:dyDescent="0.25">
      <c r="D50" s="11"/>
      <c r="E50" s="11"/>
    </row>
    <row r="51" spans="4:5" x14ac:dyDescent="0.25">
      <c r="D51" s="11"/>
      <c r="E51" s="11"/>
    </row>
    <row r="52" spans="4:5" x14ac:dyDescent="0.25">
      <c r="D52" s="11"/>
      <c r="E52" s="11"/>
    </row>
    <row r="53" spans="4:5" x14ac:dyDescent="0.25">
      <c r="D53" s="11"/>
      <c r="E53" s="11"/>
    </row>
    <row r="54" spans="4:5" x14ac:dyDescent="0.25">
      <c r="D54" s="11"/>
      <c r="E54" s="11"/>
    </row>
    <row r="55" spans="4:5" x14ac:dyDescent="0.25">
      <c r="D55" s="11"/>
      <c r="E55" s="11"/>
    </row>
    <row r="56" spans="4:5" x14ac:dyDescent="0.25">
      <c r="D56" s="11"/>
      <c r="E56" s="11"/>
    </row>
    <row r="57" spans="4:5" x14ac:dyDescent="0.25">
      <c r="D57" s="11"/>
      <c r="E57" s="11"/>
    </row>
    <row r="58" spans="4:5" x14ac:dyDescent="0.25">
      <c r="D58" s="11"/>
      <c r="E58" s="11"/>
    </row>
    <row r="59" spans="4:5" x14ac:dyDescent="0.25">
      <c r="D59" s="11"/>
      <c r="E59" s="11"/>
    </row>
    <row r="60" spans="4:5" x14ac:dyDescent="0.25">
      <c r="D60" s="11"/>
      <c r="E60" s="11"/>
    </row>
    <row r="61" spans="4:5" x14ac:dyDescent="0.25">
      <c r="D61" s="11"/>
      <c r="E61" s="11"/>
    </row>
    <row r="62" spans="4:5" x14ac:dyDescent="0.25">
      <c r="D62" s="11"/>
      <c r="E62" s="11"/>
    </row>
    <row r="63" spans="4:5" x14ac:dyDescent="0.25">
      <c r="D63" s="11"/>
      <c r="E63" s="11"/>
    </row>
    <row r="64" spans="4:5" x14ac:dyDescent="0.25">
      <c r="D64" s="11"/>
      <c r="E64" s="11"/>
    </row>
    <row r="65" spans="4:5" x14ac:dyDescent="0.25">
      <c r="D65" s="11"/>
      <c r="E65" s="11"/>
    </row>
    <row r="66" spans="4:5" x14ac:dyDescent="0.25">
      <c r="D66" s="11"/>
      <c r="E66" s="11"/>
    </row>
    <row r="67" spans="4:5" x14ac:dyDescent="0.25">
      <c r="D67" s="11"/>
      <c r="E67" s="11"/>
    </row>
    <row r="68" spans="4:5" x14ac:dyDescent="0.25">
      <c r="D68" s="11"/>
      <c r="E68" s="11"/>
    </row>
    <row r="69" spans="4:5" x14ac:dyDescent="0.25">
      <c r="D69" s="11"/>
      <c r="E69" s="11"/>
    </row>
    <row r="70" spans="4:5" x14ac:dyDescent="0.25">
      <c r="D70" s="11"/>
      <c r="E70" s="11"/>
    </row>
    <row r="71" spans="4:5" x14ac:dyDescent="0.25">
      <c r="D71" s="11"/>
      <c r="E71" s="11"/>
    </row>
    <row r="72" spans="4:5" x14ac:dyDescent="0.25">
      <c r="D72" s="11"/>
      <c r="E72" s="11"/>
    </row>
    <row r="73" spans="4:5" x14ac:dyDescent="0.25">
      <c r="D73" s="11"/>
      <c r="E73" s="11"/>
    </row>
    <row r="74" spans="4:5" x14ac:dyDescent="0.25">
      <c r="D74" s="11"/>
      <c r="E74" s="11"/>
    </row>
    <row r="75" spans="4:5" x14ac:dyDescent="0.25">
      <c r="D75" s="11"/>
      <c r="E75" s="11"/>
    </row>
    <row r="76" spans="4:5" x14ac:dyDescent="0.25">
      <c r="D76" s="11"/>
      <c r="E76" s="11"/>
    </row>
    <row r="77" spans="4:5" x14ac:dyDescent="0.25">
      <c r="D77" s="11"/>
      <c r="E77" s="11"/>
    </row>
    <row r="78" spans="4:5" x14ac:dyDescent="0.25">
      <c r="D78" s="11"/>
      <c r="E78" s="11"/>
    </row>
    <row r="79" spans="4:5" x14ac:dyDescent="0.25">
      <c r="D79" s="11"/>
      <c r="E79" s="11"/>
    </row>
    <row r="80" spans="4:5" x14ac:dyDescent="0.25">
      <c r="D80" s="11"/>
      <c r="E80" s="11"/>
    </row>
    <row r="81" spans="4:5" x14ac:dyDescent="0.25">
      <c r="D81" s="11"/>
      <c r="E81" s="11"/>
    </row>
    <row r="82" spans="4:5" x14ac:dyDescent="0.25">
      <c r="D82" s="11"/>
      <c r="E82" s="11"/>
    </row>
    <row r="83" spans="4:5" x14ac:dyDescent="0.25">
      <c r="D83" s="11"/>
      <c r="E83" s="11"/>
    </row>
    <row r="84" spans="4:5" x14ac:dyDescent="0.25">
      <c r="D84" s="11"/>
      <c r="E84" s="11"/>
    </row>
    <row r="85" spans="4:5" x14ac:dyDescent="0.25">
      <c r="D85" s="11"/>
      <c r="E85" s="11"/>
    </row>
    <row r="86" spans="4:5" x14ac:dyDescent="0.25">
      <c r="D86" s="11"/>
      <c r="E86" s="11"/>
    </row>
    <row r="87" spans="4:5" x14ac:dyDescent="0.25">
      <c r="D87" s="11"/>
      <c r="E87" s="11"/>
    </row>
    <row r="88" spans="4:5" x14ac:dyDescent="0.25">
      <c r="D88" s="11"/>
      <c r="E88" s="11"/>
    </row>
    <row r="89" spans="4:5" x14ac:dyDescent="0.25">
      <c r="D89" s="11"/>
      <c r="E89" s="11"/>
    </row>
    <row r="90" spans="4:5" x14ac:dyDescent="0.25">
      <c r="D90" s="11"/>
      <c r="E90" s="11"/>
    </row>
    <row r="91" spans="4:5" x14ac:dyDescent="0.25">
      <c r="D91" s="11"/>
      <c r="E91" s="11"/>
    </row>
    <row r="92" spans="4:5" x14ac:dyDescent="0.25">
      <c r="D92" s="11"/>
      <c r="E92" s="11"/>
    </row>
    <row r="93" spans="4:5" x14ac:dyDescent="0.25">
      <c r="D93" s="11"/>
      <c r="E93" s="11"/>
    </row>
    <row r="94" spans="4:5" x14ac:dyDescent="0.25">
      <c r="D94" s="11"/>
      <c r="E94" s="11"/>
    </row>
    <row r="95" spans="4:5" x14ac:dyDescent="0.25">
      <c r="D95" s="11"/>
      <c r="E95" s="11"/>
    </row>
    <row r="96" spans="4:5" x14ac:dyDescent="0.25">
      <c r="D96" s="11"/>
      <c r="E96" s="11"/>
    </row>
    <row r="97" spans="4:5" x14ac:dyDescent="0.25">
      <c r="D97" s="11"/>
      <c r="E97" s="11"/>
    </row>
    <row r="98" spans="4:5" x14ac:dyDescent="0.25">
      <c r="D98" s="11"/>
      <c r="E98" s="11"/>
    </row>
    <row r="99" spans="4:5" x14ac:dyDescent="0.25">
      <c r="D99" s="11"/>
      <c r="E99" s="11"/>
    </row>
    <row r="100" spans="4:5" x14ac:dyDescent="0.25">
      <c r="D100" s="11"/>
      <c r="E100" s="11"/>
    </row>
    <row r="101" spans="4:5" x14ac:dyDescent="0.25">
      <c r="D101" s="11"/>
      <c r="E101" s="11"/>
    </row>
    <row r="102" spans="4:5" x14ac:dyDescent="0.25">
      <c r="D102" s="11"/>
      <c r="E102" s="11"/>
    </row>
    <row r="103" spans="4:5" x14ac:dyDescent="0.25">
      <c r="D103" s="11"/>
      <c r="E103" s="11"/>
    </row>
    <row r="104" spans="4:5" x14ac:dyDescent="0.25">
      <c r="D104" s="11"/>
      <c r="E104" s="11"/>
    </row>
    <row r="105" spans="4:5" x14ac:dyDescent="0.25">
      <c r="D105" s="11"/>
      <c r="E105" s="11"/>
    </row>
    <row r="106" spans="4:5" x14ac:dyDescent="0.25">
      <c r="D106" s="11"/>
      <c r="E106" s="11"/>
    </row>
    <row r="107" spans="4:5" x14ac:dyDescent="0.25">
      <c r="D107" s="11"/>
      <c r="E107" s="11"/>
    </row>
    <row r="108" spans="4:5" x14ac:dyDescent="0.25">
      <c r="D108" s="11"/>
      <c r="E108" s="11"/>
    </row>
    <row r="109" spans="4:5" x14ac:dyDescent="0.25">
      <c r="D109" s="11"/>
      <c r="E109" s="11"/>
    </row>
    <row r="110" spans="4:5" x14ac:dyDescent="0.25">
      <c r="D110" s="11"/>
      <c r="E110" s="11"/>
    </row>
    <row r="111" spans="4:5" x14ac:dyDescent="0.25">
      <c r="D111" s="11"/>
      <c r="E111" s="11"/>
    </row>
    <row r="112" spans="4:5" x14ac:dyDescent="0.25">
      <c r="D112" s="11"/>
      <c r="E112" s="11"/>
    </row>
    <row r="113" spans="4:5" x14ac:dyDescent="0.25">
      <c r="D113" s="11"/>
      <c r="E113" s="11"/>
    </row>
    <row r="114" spans="4:5" x14ac:dyDescent="0.25">
      <c r="D114" s="11"/>
      <c r="E114" s="11"/>
    </row>
    <row r="115" spans="4:5" x14ac:dyDescent="0.25">
      <c r="D115" s="11"/>
      <c r="E115" s="11"/>
    </row>
    <row r="116" spans="4:5" x14ac:dyDescent="0.25">
      <c r="D116" s="11"/>
      <c r="E116" s="11"/>
    </row>
    <row r="117" spans="4:5" x14ac:dyDescent="0.25">
      <c r="D117" s="11"/>
      <c r="E117" s="11"/>
    </row>
    <row r="118" spans="4:5" x14ac:dyDescent="0.25">
      <c r="D118" s="11"/>
      <c r="E118" s="11"/>
    </row>
    <row r="119" spans="4:5" x14ac:dyDescent="0.25">
      <c r="D119" s="11"/>
      <c r="E119" s="11"/>
    </row>
    <row r="120" spans="4:5" x14ac:dyDescent="0.25">
      <c r="D120" s="11"/>
      <c r="E120" s="11"/>
    </row>
    <row r="121" spans="4:5" x14ac:dyDescent="0.25">
      <c r="D121" s="11"/>
      <c r="E121" s="11"/>
    </row>
    <row r="122" spans="4:5" x14ac:dyDescent="0.25">
      <c r="D122" s="11"/>
      <c r="E122" s="11"/>
    </row>
    <row r="123" spans="4:5" x14ac:dyDescent="0.25">
      <c r="D123" s="11"/>
      <c r="E123" s="11"/>
    </row>
    <row r="124" spans="4:5" x14ac:dyDescent="0.25">
      <c r="D124" s="11"/>
      <c r="E124" s="11"/>
    </row>
    <row r="125" spans="4:5" x14ac:dyDescent="0.25">
      <c r="D125" s="11"/>
      <c r="E125" s="11"/>
    </row>
    <row r="126" spans="4:5" x14ac:dyDescent="0.25">
      <c r="D126" s="11"/>
      <c r="E126" s="11"/>
    </row>
    <row r="127" spans="4:5" x14ac:dyDescent="0.25">
      <c r="D127" s="11"/>
      <c r="E127" s="11"/>
    </row>
    <row r="128" spans="4:5" x14ac:dyDescent="0.25">
      <c r="D128" s="11"/>
      <c r="E128" s="11"/>
    </row>
    <row r="129" spans="4:5" x14ac:dyDescent="0.25">
      <c r="D129" s="11"/>
      <c r="E129" s="11"/>
    </row>
    <row r="130" spans="4:5" x14ac:dyDescent="0.25">
      <c r="D130" s="11"/>
      <c r="E130" s="11"/>
    </row>
    <row r="131" spans="4:5" x14ac:dyDescent="0.25">
      <c r="D131" s="11"/>
      <c r="E131" s="11"/>
    </row>
    <row r="132" spans="4:5" x14ac:dyDescent="0.25">
      <c r="D132" s="11"/>
      <c r="E132" s="11"/>
    </row>
    <row r="133" spans="4:5" x14ac:dyDescent="0.25">
      <c r="D133" s="11"/>
      <c r="E133" s="11"/>
    </row>
    <row r="134" spans="4:5" x14ac:dyDescent="0.25">
      <c r="D134" s="11"/>
      <c r="E134" s="11"/>
    </row>
    <row r="135" spans="4:5" x14ac:dyDescent="0.25">
      <c r="D135" s="11"/>
      <c r="E135" s="11"/>
    </row>
    <row r="136" spans="4:5" x14ac:dyDescent="0.25">
      <c r="D136" s="11"/>
      <c r="E136" s="11"/>
    </row>
    <row r="137" spans="4:5" x14ac:dyDescent="0.25">
      <c r="D137" s="11"/>
      <c r="E137" s="11"/>
    </row>
    <row r="138" spans="4:5" x14ac:dyDescent="0.25">
      <c r="D138" s="11"/>
      <c r="E138" s="11"/>
    </row>
    <row r="139" spans="4:5" x14ac:dyDescent="0.25">
      <c r="D139" s="11"/>
      <c r="E139" s="11"/>
    </row>
    <row r="140" spans="4:5" x14ac:dyDescent="0.25">
      <c r="D140" s="11"/>
      <c r="E140" s="11"/>
    </row>
    <row r="141" spans="4:5" x14ac:dyDescent="0.25">
      <c r="D141" s="11"/>
      <c r="E141" s="11"/>
    </row>
    <row r="142" spans="4:5" x14ac:dyDescent="0.25">
      <c r="D142" s="11"/>
      <c r="E142" s="11"/>
    </row>
    <row r="143" spans="4:5" x14ac:dyDescent="0.25">
      <c r="D143" s="11"/>
      <c r="E143" s="11"/>
    </row>
    <row r="144" spans="4:5" x14ac:dyDescent="0.25">
      <c r="D144" s="11"/>
      <c r="E144" s="11"/>
    </row>
    <row r="145" spans="4:5" x14ac:dyDescent="0.25">
      <c r="D145" s="11"/>
      <c r="E145" s="11"/>
    </row>
    <row r="146" spans="4:5" x14ac:dyDescent="0.25">
      <c r="D146" s="11"/>
      <c r="E146" s="11"/>
    </row>
    <row r="147" spans="4:5" x14ac:dyDescent="0.25">
      <c r="D147" s="11"/>
      <c r="E147" s="11"/>
    </row>
    <row r="148" spans="4:5" x14ac:dyDescent="0.25">
      <c r="D148" s="11"/>
      <c r="E148" s="11"/>
    </row>
    <row r="149" spans="4:5" x14ac:dyDescent="0.25">
      <c r="D149" s="11"/>
      <c r="E149" s="11"/>
    </row>
    <row r="150" spans="4:5" x14ac:dyDescent="0.25">
      <c r="D150" s="11"/>
      <c r="E150" s="11"/>
    </row>
    <row r="151" spans="4:5" x14ac:dyDescent="0.25">
      <c r="D151" s="11"/>
      <c r="E151" s="11"/>
    </row>
    <row r="152" spans="4:5" x14ac:dyDescent="0.25">
      <c r="D152" s="11"/>
      <c r="E152" s="11"/>
    </row>
    <row r="153" spans="4:5" x14ac:dyDescent="0.25">
      <c r="D153" s="11"/>
      <c r="E153" s="11"/>
    </row>
    <row r="154" spans="4:5" x14ac:dyDescent="0.25">
      <c r="D154" s="11"/>
      <c r="E154" s="11"/>
    </row>
    <row r="155" spans="4:5" x14ac:dyDescent="0.25">
      <c r="D155" s="11"/>
      <c r="E155" s="11"/>
    </row>
    <row r="156" spans="4:5" x14ac:dyDescent="0.25">
      <c r="D156" s="11"/>
      <c r="E156" s="11"/>
    </row>
    <row r="157" spans="4:5" x14ac:dyDescent="0.25">
      <c r="D157" s="11"/>
      <c r="E157" s="11"/>
    </row>
    <row r="158" spans="4:5" x14ac:dyDescent="0.25">
      <c r="D158" s="11"/>
      <c r="E158" s="11"/>
    </row>
    <row r="159" spans="4:5" x14ac:dyDescent="0.25">
      <c r="D159" s="11"/>
      <c r="E159" s="11"/>
    </row>
    <row r="160" spans="4:5" x14ac:dyDescent="0.25">
      <c r="D160" s="11"/>
      <c r="E160" s="11"/>
    </row>
    <row r="161" spans="4:5" x14ac:dyDescent="0.25">
      <c r="D161" s="11"/>
      <c r="E161" s="11"/>
    </row>
    <row r="162" spans="4:5" x14ac:dyDescent="0.25">
      <c r="D162" s="11"/>
      <c r="E162" s="11"/>
    </row>
    <row r="163" spans="4:5" x14ac:dyDescent="0.25">
      <c r="D163" s="11"/>
      <c r="E163" s="11"/>
    </row>
    <row r="164" spans="4:5" x14ac:dyDescent="0.25">
      <c r="D164" s="11"/>
      <c r="E164" s="11"/>
    </row>
    <row r="165" spans="4:5" x14ac:dyDescent="0.25">
      <c r="D165" s="11"/>
      <c r="E165" s="11"/>
    </row>
    <row r="166" spans="4:5" x14ac:dyDescent="0.25">
      <c r="D166" s="11"/>
      <c r="E166" s="11"/>
    </row>
    <row r="167" spans="4:5" x14ac:dyDescent="0.25">
      <c r="D167" s="11"/>
      <c r="E167" s="11"/>
    </row>
    <row r="168" spans="4:5" x14ac:dyDescent="0.25">
      <c r="D168" s="11"/>
      <c r="E168" s="11"/>
    </row>
    <row r="169" spans="4:5" x14ac:dyDescent="0.25">
      <c r="D169" s="11"/>
      <c r="E169" s="11"/>
    </row>
    <row r="170" spans="4:5" x14ac:dyDescent="0.25">
      <c r="D170" s="11"/>
      <c r="E170" s="11"/>
    </row>
    <row r="171" spans="4:5" x14ac:dyDescent="0.25">
      <c r="D171" s="11"/>
      <c r="E171" s="11"/>
    </row>
    <row r="172" spans="4:5" x14ac:dyDescent="0.25">
      <c r="D172" s="11"/>
      <c r="E172" s="11"/>
    </row>
    <row r="173" spans="4:5" x14ac:dyDescent="0.25">
      <c r="D173" s="11"/>
      <c r="E173" s="11"/>
    </row>
    <row r="174" spans="4:5" x14ac:dyDescent="0.25">
      <c r="D174" s="11"/>
      <c r="E174" s="11"/>
    </row>
    <row r="175" spans="4:5" x14ac:dyDescent="0.25">
      <c r="D175" s="11"/>
      <c r="E175" s="11"/>
    </row>
    <row r="176" spans="4:5" x14ac:dyDescent="0.25">
      <c r="D176" s="11"/>
      <c r="E176" s="11"/>
    </row>
    <row r="177" spans="4:5" x14ac:dyDescent="0.25">
      <c r="D177" s="11"/>
      <c r="E177" s="11"/>
    </row>
    <row r="178" spans="4:5" x14ac:dyDescent="0.25">
      <c r="D178" s="11"/>
      <c r="E178" s="11"/>
    </row>
    <row r="179" spans="4:5" x14ac:dyDescent="0.25">
      <c r="D179" s="11"/>
      <c r="E179" s="11"/>
    </row>
    <row r="180" spans="4:5" x14ac:dyDescent="0.25">
      <c r="D180" s="11"/>
      <c r="E180" s="11"/>
    </row>
    <row r="181" spans="4:5" x14ac:dyDescent="0.25">
      <c r="D181" s="11"/>
      <c r="E181" s="11"/>
    </row>
    <row r="182" spans="4:5" x14ac:dyDescent="0.25">
      <c r="D182" s="11"/>
      <c r="E182" s="11"/>
    </row>
    <row r="183" spans="4:5" x14ac:dyDescent="0.25">
      <c r="D183" s="11"/>
      <c r="E183" s="11"/>
    </row>
    <row r="184" spans="4:5" x14ac:dyDescent="0.25">
      <c r="D184" s="11"/>
      <c r="E184" s="11"/>
    </row>
    <row r="185" spans="4:5" x14ac:dyDescent="0.25">
      <c r="D185" s="11"/>
      <c r="E185" s="11"/>
    </row>
    <row r="186" spans="4:5" x14ac:dyDescent="0.25">
      <c r="D186" s="11"/>
      <c r="E186" s="11"/>
    </row>
    <row r="187" spans="4:5" x14ac:dyDescent="0.25">
      <c r="D187" s="11"/>
      <c r="E187" s="11"/>
    </row>
    <row r="188" spans="4:5" x14ac:dyDescent="0.25">
      <c r="D188" s="11"/>
      <c r="E188" s="11"/>
    </row>
    <row r="189" spans="4:5" x14ac:dyDescent="0.25">
      <c r="D189" s="11"/>
      <c r="E189" s="11"/>
    </row>
    <row r="190" spans="4:5" x14ac:dyDescent="0.25">
      <c r="D190" s="11"/>
      <c r="E190" s="11"/>
    </row>
    <row r="191" spans="4:5" x14ac:dyDescent="0.25">
      <c r="D191" s="11"/>
      <c r="E191" s="11"/>
    </row>
    <row r="192" spans="4:5" x14ac:dyDescent="0.25">
      <c r="D192" s="11"/>
      <c r="E192" s="11"/>
    </row>
    <row r="193" spans="4:5" x14ac:dyDescent="0.25">
      <c r="D193" s="11"/>
      <c r="E193" s="11"/>
    </row>
    <row r="194" spans="4:5" x14ac:dyDescent="0.25">
      <c r="D194" s="11"/>
      <c r="E194" s="11"/>
    </row>
    <row r="195" spans="4:5" x14ac:dyDescent="0.25">
      <c r="D195" s="11"/>
      <c r="E195" s="11"/>
    </row>
    <row r="196" spans="4:5" x14ac:dyDescent="0.25">
      <c r="D196" s="11"/>
      <c r="E196" s="11"/>
    </row>
    <row r="197" spans="4:5" x14ac:dyDescent="0.25">
      <c r="D197" s="11"/>
      <c r="E197" s="11"/>
    </row>
    <row r="198" spans="4:5" x14ac:dyDescent="0.25">
      <c r="D198" s="11"/>
      <c r="E198" s="11"/>
    </row>
    <row r="199" spans="4:5" x14ac:dyDescent="0.25">
      <c r="D199" s="11"/>
      <c r="E199" s="11"/>
    </row>
    <row r="200" spans="4:5" x14ac:dyDescent="0.25">
      <c r="D200" s="11"/>
      <c r="E200" s="11"/>
    </row>
    <row r="201" spans="4:5" x14ac:dyDescent="0.25">
      <c r="D201" s="11"/>
      <c r="E201" s="11"/>
    </row>
    <row r="202" spans="4:5" x14ac:dyDescent="0.25">
      <c r="D202" s="11"/>
      <c r="E202" s="11"/>
    </row>
    <row r="203" spans="4:5" x14ac:dyDescent="0.25">
      <c r="D203" s="11"/>
      <c r="E203" s="11"/>
    </row>
    <row r="204" spans="4:5" x14ac:dyDescent="0.25">
      <c r="D204" s="11"/>
      <c r="E204" s="11"/>
    </row>
    <row r="205" spans="4:5" x14ac:dyDescent="0.25">
      <c r="D205" s="11"/>
      <c r="E205" s="11"/>
    </row>
    <row r="206" spans="4:5" x14ac:dyDescent="0.25">
      <c r="D206" s="11"/>
      <c r="E206" s="11"/>
    </row>
    <row r="207" spans="4:5" x14ac:dyDescent="0.25">
      <c r="D207" s="11"/>
      <c r="E207" s="11"/>
    </row>
    <row r="208" spans="4:5" x14ac:dyDescent="0.25">
      <c r="D208" s="11"/>
      <c r="E208" s="11"/>
    </row>
    <row r="209" spans="4:5" x14ac:dyDescent="0.25">
      <c r="D209" s="11"/>
      <c r="E209" s="11"/>
    </row>
    <row r="210" spans="4:5" x14ac:dyDescent="0.25">
      <c r="D210" s="11"/>
      <c r="E210" s="11"/>
    </row>
    <row r="211" spans="4:5" x14ac:dyDescent="0.25">
      <c r="D211" s="11"/>
      <c r="E211" s="11"/>
    </row>
    <row r="212" spans="4:5" x14ac:dyDescent="0.25">
      <c r="D212" s="11"/>
      <c r="E212" s="11"/>
    </row>
    <row r="213" spans="4:5" x14ac:dyDescent="0.25">
      <c r="D213" s="11"/>
      <c r="E213" s="11"/>
    </row>
    <row r="214" spans="4:5" x14ac:dyDescent="0.25">
      <c r="D214" s="11"/>
      <c r="E214" s="11"/>
    </row>
    <row r="215" spans="4:5" x14ac:dyDescent="0.25">
      <c r="D215" s="11"/>
      <c r="E215" s="11"/>
    </row>
    <row r="216" spans="4:5" x14ac:dyDescent="0.25">
      <c r="D216" s="11"/>
      <c r="E216" s="11"/>
    </row>
    <row r="217" spans="4:5" x14ac:dyDescent="0.25">
      <c r="D217" s="11"/>
      <c r="E217" s="11"/>
    </row>
    <row r="218" spans="4:5" x14ac:dyDescent="0.25">
      <c r="D218" s="11"/>
      <c r="E218" s="11"/>
    </row>
    <row r="219" spans="4:5" x14ac:dyDescent="0.25">
      <c r="D219" s="11"/>
      <c r="E219" s="11"/>
    </row>
    <row r="220" spans="4:5" x14ac:dyDescent="0.25">
      <c r="D220" s="11"/>
      <c r="E220" s="11"/>
    </row>
    <row r="221" spans="4:5" x14ac:dyDescent="0.25">
      <c r="D221" s="11"/>
      <c r="E221" s="11"/>
    </row>
    <row r="222" spans="4:5" x14ac:dyDescent="0.25">
      <c r="D222" s="11"/>
      <c r="E222" s="11"/>
    </row>
    <row r="223" spans="4:5" x14ac:dyDescent="0.25">
      <c r="D223" s="11"/>
      <c r="E223" s="11"/>
    </row>
    <row r="224" spans="4:5" x14ac:dyDescent="0.25">
      <c r="D224" s="11"/>
      <c r="E224" s="11"/>
    </row>
    <row r="225" spans="4:5" x14ac:dyDescent="0.25">
      <c r="D225" s="11"/>
      <c r="E225" s="11"/>
    </row>
    <row r="226" spans="4:5" x14ac:dyDescent="0.25">
      <c r="D226" s="11"/>
      <c r="E226" s="11"/>
    </row>
    <row r="227" spans="4:5" x14ac:dyDescent="0.25">
      <c r="D227" s="11"/>
      <c r="E227" s="11"/>
    </row>
    <row r="228" spans="4:5" x14ac:dyDescent="0.25">
      <c r="D228" s="11"/>
      <c r="E228" s="11"/>
    </row>
    <row r="229" spans="4:5" x14ac:dyDescent="0.25">
      <c r="D229" s="11"/>
      <c r="E229" s="11"/>
    </row>
    <row r="230" spans="4:5" x14ac:dyDescent="0.25">
      <c r="D230" s="11"/>
      <c r="E230" s="11"/>
    </row>
    <row r="231" spans="4:5" x14ac:dyDescent="0.25">
      <c r="D231" s="11"/>
      <c r="E231" s="11"/>
    </row>
    <row r="232" spans="4:5" x14ac:dyDescent="0.25">
      <c r="D232" s="11"/>
      <c r="E232" s="11"/>
    </row>
    <row r="233" spans="4:5" x14ac:dyDescent="0.25">
      <c r="D233" s="11"/>
      <c r="E233" s="11"/>
    </row>
    <row r="234" spans="4:5" x14ac:dyDescent="0.25">
      <c r="D234" s="11"/>
      <c r="E234" s="11"/>
    </row>
    <row r="235" spans="4:5" x14ac:dyDescent="0.25">
      <c r="D235" s="11"/>
      <c r="E235" s="11"/>
    </row>
    <row r="236" spans="4:5" x14ac:dyDescent="0.25">
      <c r="D236" s="11"/>
      <c r="E236" s="11"/>
    </row>
    <row r="237" spans="4:5" x14ac:dyDescent="0.25">
      <c r="D237" s="11"/>
      <c r="E237" s="11"/>
    </row>
    <row r="238" spans="4:5" x14ac:dyDescent="0.25">
      <c r="D238" s="11"/>
      <c r="E238" s="11"/>
    </row>
    <row r="239" spans="4:5" x14ac:dyDescent="0.25">
      <c r="D239" s="11"/>
      <c r="E239" s="11"/>
    </row>
    <row r="240" spans="4:5" x14ac:dyDescent="0.25">
      <c r="D240" s="11"/>
      <c r="E240" s="11"/>
    </row>
    <row r="241" spans="4:5" x14ac:dyDescent="0.25">
      <c r="D241" s="11"/>
      <c r="E241" s="11"/>
    </row>
    <row r="242" spans="4:5" x14ac:dyDescent="0.25">
      <c r="D242" s="11"/>
      <c r="E242" s="11"/>
    </row>
    <row r="243" spans="4:5" x14ac:dyDescent="0.25">
      <c r="D243" s="11"/>
      <c r="E243" s="11"/>
    </row>
    <row r="244" spans="4:5" x14ac:dyDescent="0.25">
      <c r="D244" s="11"/>
      <c r="E244" s="11"/>
    </row>
    <row r="245" spans="4:5" x14ac:dyDescent="0.25">
      <c r="D245" s="11"/>
      <c r="E245" s="11"/>
    </row>
    <row r="246" spans="4:5" x14ac:dyDescent="0.25">
      <c r="D246" s="11"/>
      <c r="E246" s="11"/>
    </row>
    <row r="247" spans="4:5" x14ac:dyDescent="0.25">
      <c r="D247" s="11"/>
      <c r="E247" s="11"/>
    </row>
    <row r="248" spans="4:5" x14ac:dyDescent="0.25">
      <c r="D248" s="11"/>
      <c r="E248" s="11"/>
    </row>
    <row r="249" spans="4:5" x14ac:dyDescent="0.25">
      <c r="D249" s="11"/>
      <c r="E249" s="11"/>
    </row>
    <row r="250" spans="4:5" x14ac:dyDescent="0.25">
      <c r="D250" s="11"/>
      <c r="E250" s="11"/>
    </row>
    <row r="251" spans="4:5" x14ac:dyDescent="0.25">
      <c r="D251" s="11"/>
      <c r="E251" s="11"/>
    </row>
    <row r="252" spans="4:5" x14ac:dyDescent="0.25">
      <c r="D252" s="11"/>
      <c r="E252" s="11"/>
    </row>
    <row r="253" spans="4:5" x14ac:dyDescent="0.25">
      <c r="D253" s="11"/>
      <c r="E253" s="11"/>
    </row>
    <row r="254" spans="4:5" x14ac:dyDescent="0.25">
      <c r="D254" s="11"/>
      <c r="E254" s="11"/>
    </row>
    <row r="255" spans="4:5" x14ac:dyDescent="0.25">
      <c r="D255" s="11"/>
      <c r="E255" s="11"/>
    </row>
    <row r="256" spans="4:5" x14ac:dyDescent="0.25">
      <c r="D256" s="11"/>
      <c r="E256" s="11"/>
    </row>
    <row r="257" spans="4:5" x14ac:dyDescent="0.25">
      <c r="D257" s="11"/>
      <c r="E257" s="11"/>
    </row>
    <row r="258" spans="4:5" x14ac:dyDescent="0.25">
      <c r="D258" s="11"/>
      <c r="E258" s="11"/>
    </row>
    <row r="259" spans="4:5" x14ac:dyDescent="0.25">
      <c r="D259" s="11"/>
      <c r="E259" s="11"/>
    </row>
    <row r="260" spans="4:5" x14ac:dyDescent="0.25">
      <c r="D260" s="11"/>
      <c r="E260" s="11"/>
    </row>
    <row r="261" spans="4:5" x14ac:dyDescent="0.25">
      <c r="D261" s="11"/>
      <c r="E261" s="11"/>
    </row>
    <row r="262" spans="4:5" x14ac:dyDescent="0.25">
      <c r="D262" s="11"/>
      <c r="E262" s="11"/>
    </row>
    <row r="263" spans="4:5" x14ac:dyDescent="0.25">
      <c r="D263" s="11"/>
      <c r="E263" s="11"/>
    </row>
    <row r="264" spans="4:5" x14ac:dyDescent="0.25">
      <c r="D264" s="11"/>
      <c r="E264" s="11"/>
    </row>
    <row r="265" spans="4:5" x14ac:dyDescent="0.25">
      <c r="D265" s="11"/>
      <c r="E265" s="11"/>
    </row>
    <row r="266" spans="4:5" x14ac:dyDescent="0.25">
      <c r="D266" s="11"/>
      <c r="E266" s="11"/>
    </row>
    <row r="267" spans="4:5" x14ac:dyDescent="0.25">
      <c r="D267" s="11"/>
      <c r="E267" s="11"/>
    </row>
    <row r="268" spans="4:5" x14ac:dyDescent="0.25">
      <c r="D268" s="11"/>
      <c r="E268" s="11"/>
    </row>
    <row r="269" spans="4:5" x14ac:dyDescent="0.25">
      <c r="D269" s="11"/>
      <c r="E269" s="11"/>
    </row>
    <row r="270" spans="4:5" x14ac:dyDescent="0.25">
      <c r="D270" s="11"/>
      <c r="E270" s="11"/>
    </row>
    <row r="271" spans="4:5" x14ac:dyDescent="0.25">
      <c r="D271" s="11"/>
      <c r="E271" s="11"/>
    </row>
    <row r="272" spans="4:5" x14ac:dyDescent="0.25">
      <c r="D272" s="11"/>
      <c r="E272" s="11"/>
    </row>
    <row r="273" spans="4:5" x14ac:dyDescent="0.25">
      <c r="D273" s="11"/>
      <c r="E273" s="11"/>
    </row>
    <row r="274" spans="4:5" x14ac:dyDescent="0.25">
      <c r="D274" s="11"/>
      <c r="E274" s="11"/>
    </row>
    <row r="275" spans="4:5" x14ac:dyDescent="0.25">
      <c r="D275" s="11"/>
      <c r="E275" s="11"/>
    </row>
    <row r="276" spans="4:5" x14ac:dyDescent="0.25">
      <c r="D276" s="11"/>
      <c r="E276" s="11"/>
    </row>
    <row r="277" spans="4:5" x14ac:dyDescent="0.25">
      <c r="D277" s="11"/>
      <c r="E277" s="11"/>
    </row>
    <row r="278" spans="4:5" x14ac:dyDescent="0.25">
      <c r="D278" s="11"/>
      <c r="E278" s="11"/>
    </row>
    <row r="279" spans="4:5" x14ac:dyDescent="0.25">
      <c r="D279" s="11"/>
      <c r="E279" s="11"/>
    </row>
    <row r="280" spans="4:5" x14ac:dyDescent="0.25">
      <c r="D280" s="11"/>
      <c r="E280" s="11"/>
    </row>
    <row r="281" spans="4:5" x14ac:dyDescent="0.25">
      <c r="D281" s="11"/>
      <c r="E281" s="11"/>
    </row>
    <row r="282" spans="4:5" x14ac:dyDescent="0.25">
      <c r="D282" s="11"/>
      <c r="E282" s="11"/>
    </row>
    <row r="283" spans="4:5" x14ac:dyDescent="0.25">
      <c r="D283" s="11"/>
      <c r="E283" s="11"/>
    </row>
    <row r="284" spans="4:5" x14ac:dyDescent="0.25">
      <c r="D284" s="11"/>
      <c r="E284" s="11"/>
    </row>
    <row r="285" spans="4:5" x14ac:dyDescent="0.25">
      <c r="D285" s="11"/>
      <c r="E285" s="11"/>
    </row>
    <row r="286" spans="4:5" x14ac:dyDescent="0.25">
      <c r="D286" s="11"/>
      <c r="E286" s="11"/>
    </row>
    <row r="287" spans="4:5" x14ac:dyDescent="0.25">
      <c r="D287" s="11"/>
      <c r="E287" s="11"/>
    </row>
    <row r="288" spans="4:5" x14ac:dyDescent="0.25">
      <c r="D288" s="11"/>
      <c r="E288" s="11"/>
    </row>
    <row r="289" spans="4:5" x14ac:dyDescent="0.25">
      <c r="D289" s="11"/>
      <c r="E289" s="11"/>
    </row>
    <row r="290" spans="4:5" x14ac:dyDescent="0.25">
      <c r="D290" s="11"/>
      <c r="E290" s="11"/>
    </row>
    <row r="291" spans="4:5" x14ac:dyDescent="0.25">
      <c r="D291" s="11"/>
      <c r="E291" s="11"/>
    </row>
    <row r="292" spans="4:5" x14ac:dyDescent="0.25">
      <c r="D292" s="11"/>
      <c r="E292" s="11"/>
    </row>
    <row r="293" spans="4:5" x14ac:dyDescent="0.25">
      <c r="D293" s="11"/>
      <c r="E293" s="11"/>
    </row>
    <row r="294" spans="4:5" x14ac:dyDescent="0.25">
      <c r="D294" s="11"/>
      <c r="E294" s="11"/>
    </row>
    <row r="295" spans="4:5" x14ac:dyDescent="0.25">
      <c r="D295" s="11"/>
      <c r="E295" s="11"/>
    </row>
    <row r="296" spans="4:5" x14ac:dyDescent="0.25">
      <c r="D296" s="11"/>
      <c r="E296" s="11"/>
    </row>
    <row r="297" spans="4:5" x14ac:dyDescent="0.25">
      <c r="D297" s="11"/>
      <c r="E297" s="11"/>
    </row>
    <row r="298" spans="4:5" x14ac:dyDescent="0.25">
      <c r="D298" s="11"/>
      <c r="E298" s="11"/>
    </row>
    <row r="299" spans="4:5" x14ac:dyDescent="0.25">
      <c r="D299" s="11"/>
      <c r="E299" s="11"/>
    </row>
    <row r="300" spans="4:5" x14ac:dyDescent="0.25">
      <c r="D300" s="11"/>
      <c r="E300" s="11"/>
    </row>
    <row r="301" spans="4:5" x14ac:dyDescent="0.25">
      <c r="D301" s="11"/>
      <c r="E301" s="11"/>
    </row>
    <row r="302" spans="4:5" x14ac:dyDescent="0.25">
      <c r="D302" s="11"/>
      <c r="E302" s="11"/>
    </row>
    <row r="303" spans="4:5" x14ac:dyDescent="0.25">
      <c r="D303" s="11"/>
      <c r="E303" s="11"/>
    </row>
    <row r="304" spans="4:5" x14ac:dyDescent="0.25">
      <c r="D304" s="11"/>
      <c r="E304" s="11"/>
    </row>
    <row r="305" spans="4:5" x14ac:dyDescent="0.25">
      <c r="D305" s="11"/>
      <c r="E305" s="11"/>
    </row>
    <row r="306" spans="4:5" x14ac:dyDescent="0.25">
      <c r="D306" s="11"/>
      <c r="E306" s="11"/>
    </row>
    <row r="307" spans="4:5" x14ac:dyDescent="0.25">
      <c r="D307" s="11"/>
      <c r="E307" s="11"/>
    </row>
    <row r="308" spans="4:5" x14ac:dyDescent="0.25">
      <c r="D308" s="11"/>
      <c r="E308" s="11"/>
    </row>
    <row r="309" spans="4:5" x14ac:dyDescent="0.25">
      <c r="D309" s="11"/>
      <c r="E309" s="11"/>
    </row>
    <row r="310" spans="4:5" x14ac:dyDescent="0.25">
      <c r="D310" s="11"/>
      <c r="E310" s="11"/>
    </row>
    <row r="311" spans="4:5" x14ac:dyDescent="0.25">
      <c r="D311" s="11"/>
      <c r="E311" s="11"/>
    </row>
    <row r="312" spans="4:5" x14ac:dyDescent="0.25">
      <c r="D312" s="11"/>
      <c r="E312" s="11"/>
    </row>
    <row r="313" spans="4:5" x14ac:dyDescent="0.25">
      <c r="D313" s="11"/>
      <c r="E313" s="11"/>
    </row>
    <row r="314" spans="4:5" x14ac:dyDescent="0.25">
      <c r="D314" s="11"/>
      <c r="E314" s="11"/>
    </row>
    <row r="315" spans="4:5" x14ac:dyDescent="0.25">
      <c r="D315" s="11"/>
      <c r="E315" s="11"/>
    </row>
    <row r="316" spans="4:5" x14ac:dyDescent="0.25">
      <c r="D316" s="11"/>
      <c r="E316" s="11"/>
    </row>
    <row r="317" spans="4:5" x14ac:dyDescent="0.25">
      <c r="D317" s="11"/>
      <c r="E317" s="11"/>
    </row>
    <row r="318" spans="4:5" x14ac:dyDescent="0.25">
      <c r="D318" s="11"/>
      <c r="E318" s="11"/>
    </row>
    <row r="319" spans="4:5" x14ac:dyDescent="0.25">
      <c r="D319" s="11"/>
      <c r="E319" s="11"/>
    </row>
    <row r="320" spans="4:5" x14ac:dyDescent="0.25">
      <c r="D320" s="11"/>
      <c r="E320" s="11"/>
    </row>
    <row r="321" spans="4:5" x14ac:dyDescent="0.25">
      <c r="D321" s="11"/>
      <c r="E321" s="11"/>
    </row>
    <row r="322" spans="4:5" x14ac:dyDescent="0.25">
      <c r="D322" s="11"/>
      <c r="E322" s="11"/>
    </row>
    <row r="323" spans="4:5" x14ac:dyDescent="0.25">
      <c r="D323" s="11"/>
      <c r="E323" s="11"/>
    </row>
    <row r="324" spans="4:5" x14ac:dyDescent="0.25">
      <c r="D324" s="11"/>
      <c r="E324" s="11"/>
    </row>
    <row r="325" spans="4:5" x14ac:dyDescent="0.25">
      <c r="D325" s="11"/>
      <c r="E325" s="11"/>
    </row>
    <row r="326" spans="4:5" x14ac:dyDescent="0.25">
      <c r="D326" s="11"/>
      <c r="E326" s="11"/>
    </row>
    <row r="327" spans="4:5" x14ac:dyDescent="0.25">
      <c r="D327" s="11"/>
      <c r="E327" s="11"/>
    </row>
    <row r="328" spans="4:5" x14ac:dyDescent="0.25">
      <c r="D328" s="11"/>
      <c r="E328" s="11"/>
    </row>
    <row r="329" spans="4:5" x14ac:dyDescent="0.25">
      <c r="D329" s="11"/>
      <c r="E329" s="11"/>
    </row>
    <row r="330" spans="4:5" x14ac:dyDescent="0.25">
      <c r="D330" s="11"/>
      <c r="E330" s="11"/>
    </row>
    <row r="331" spans="4:5" x14ac:dyDescent="0.25">
      <c r="D331" s="11"/>
      <c r="E331" s="11"/>
    </row>
    <row r="332" spans="4:5" x14ac:dyDescent="0.25">
      <c r="D332" s="11"/>
      <c r="E332" s="11"/>
    </row>
    <row r="333" spans="4:5" x14ac:dyDescent="0.25">
      <c r="D333" s="11"/>
      <c r="E333" s="11"/>
    </row>
    <row r="334" spans="4:5" x14ac:dyDescent="0.25">
      <c r="D334" s="11"/>
      <c r="E334" s="11"/>
    </row>
    <row r="335" spans="4:5" x14ac:dyDescent="0.25">
      <c r="D335" s="11"/>
      <c r="E335" s="11"/>
    </row>
    <row r="336" spans="4:5" x14ac:dyDescent="0.25">
      <c r="D336" s="11"/>
      <c r="E336" s="11"/>
    </row>
    <row r="337" spans="4:5" x14ac:dyDescent="0.25">
      <c r="D337" s="11"/>
      <c r="E337" s="11"/>
    </row>
    <row r="338" spans="4:5" x14ac:dyDescent="0.25">
      <c r="D338" s="11"/>
      <c r="E338" s="11"/>
    </row>
    <row r="339" spans="4:5" x14ac:dyDescent="0.25">
      <c r="D339" s="11"/>
      <c r="E339" s="11"/>
    </row>
    <row r="340" spans="4:5" x14ac:dyDescent="0.25">
      <c r="D340" s="11"/>
      <c r="E340" s="11"/>
    </row>
    <row r="341" spans="4:5" x14ac:dyDescent="0.25">
      <c r="D341" s="11"/>
      <c r="E341" s="11"/>
    </row>
    <row r="342" spans="4:5" x14ac:dyDescent="0.25">
      <c r="D342" s="11"/>
      <c r="E342" s="11"/>
    </row>
    <row r="343" spans="4:5" x14ac:dyDescent="0.25">
      <c r="D343" s="11"/>
      <c r="E343" s="11"/>
    </row>
    <row r="344" spans="4:5" x14ac:dyDescent="0.25">
      <c r="D344" s="11"/>
      <c r="E344" s="11"/>
    </row>
    <row r="345" spans="4:5" x14ac:dyDescent="0.25">
      <c r="D345" s="11"/>
      <c r="E345" s="11"/>
    </row>
    <row r="346" spans="4:5" x14ac:dyDescent="0.25">
      <c r="D346" s="11"/>
      <c r="E346" s="11"/>
    </row>
    <row r="347" spans="4:5" x14ac:dyDescent="0.25">
      <c r="D347" s="11"/>
      <c r="E347" s="11"/>
    </row>
    <row r="348" spans="4:5" x14ac:dyDescent="0.25">
      <c r="D348" s="11"/>
      <c r="E348" s="11"/>
    </row>
    <row r="349" spans="4:5" x14ac:dyDescent="0.25">
      <c r="D349" s="11"/>
      <c r="E349" s="11"/>
    </row>
    <row r="350" spans="4:5" x14ac:dyDescent="0.25">
      <c r="D350" s="11"/>
      <c r="E350" s="11"/>
    </row>
    <row r="351" spans="4:5" x14ac:dyDescent="0.25">
      <c r="D351" s="11"/>
      <c r="E351" s="11"/>
    </row>
    <row r="352" spans="4:5" x14ac:dyDescent="0.25">
      <c r="D352" s="11"/>
      <c r="E352" s="11"/>
    </row>
    <row r="353" spans="4:5" x14ac:dyDescent="0.25">
      <c r="D353" s="11"/>
      <c r="E353" s="11"/>
    </row>
    <row r="354" spans="4:5" x14ac:dyDescent="0.25">
      <c r="D354" s="11"/>
      <c r="E354" s="11"/>
    </row>
    <row r="355" spans="4:5" x14ac:dyDescent="0.25">
      <c r="D355" s="11"/>
      <c r="E355" s="11"/>
    </row>
    <row r="356" spans="4:5" x14ac:dyDescent="0.25">
      <c r="D356" s="11"/>
      <c r="E356" s="11"/>
    </row>
    <row r="357" spans="4:5" x14ac:dyDescent="0.25">
      <c r="D357" s="11"/>
      <c r="E357" s="11"/>
    </row>
    <row r="358" spans="4:5" x14ac:dyDescent="0.25">
      <c r="D358" s="11"/>
      <c r="E358" s="11"/>
    </row>
    <row r="359" spans="4:5" x14ac:dyDescent="0.25">
      <c r="D359" s="11"/>
      <c r="E359" s="11"/>
    </row>
    <row r="360" spans="4:5" x14ac:dyDescent="0.25">
      <c r="D360" s="11"/>
      <c r="E360" s="11"/>
    </row>
    <row r="361" spans="4:5" x14ac:dyDescent="0.25">
      <c r="D361" s="11"/>
      <c r="E361" s="11"/>
    </row>
    <row r="362" spans="4:5" x14ac:dyDescent="0.25">
      <c r="D362" s="11"/>
      <c r="E362" s="11"/>
    </row>
    <row r="363" spans="4:5" x14ac:dyDescent="0.25">
      <c r="D363" s="11"/>
      <c r="E363" s="11"/>
    </row>
    <row r="364" spans="4:5" x14ac:dyDescent="0.25">
      <c r="D364" s="11"/>
      <c r="E364" s="11"/>
    </row>
    <row r="365" spans="4:5" x14ac:dyDescent="0.25">
      <c r="D365" s="11"/>
      <c r="E365" s="11"/>
    </row>
    <row r="366" spans="4:5" x14ac:dyDescent="0.25">
      <c r="D366" s="11"/>
      <c r="E366" s="11"/>
    </row>
    <row r="367" spans="4:5" x14ac:dyDescent="0.25">
      <c r="D367" s="11"/>
      <c r="E367" s="11"/>
    </row>
    <row r="368" spans="4:5" x14ac:dyDescent="0.25">
      <c r="D368" s="11"/>
      <c r="E368" s="11"/>
    </row>
    <row r="369" spans="4:5" x14ac:dyDescent="0.25">
      <c r="D369" s="11"/>
      <c r="E369" s="11"/>
    </row>
    <row r="370" spans="4:5" x14ac:dyDescent="0.25">
      <c r="D370" s="11"/>
      <c r="E370" s="11"/>
    </row>
    <row r="371" spans="4:5" x14ac:dyDescent="0.25">
      <c r="D371" s="11"/>
      <c r="E371" s="11"/>
    </row>
    <row r="372" spans="4:5" x14ac:dyDescent="0.25">
      <c r="D372" s="11"/>
      <c r="E372" s="11"/>
    </row>
    <row r="373" spans="4:5" x14ac:dyDescent="0.25">
      <c r="D373" s="11"/>
      <c r="E373" s="11"/>
    </row>
    <row r="374" spans="4:5" x14ac:dyDescent="0.25">
      <c r="D374" s="11"/>
      <c r="E374" s="11"/>
    </row>
    <row r="375" spans="4:5" x14ac:dyDescent="0.25">
      <c r="D375" s="11"/>
      <c r="E375" s="11"/>
    </row>
    <row r="376" spans="4:5" x14ac:dyDescent="0.25">
      <c r="D376" s="11"/>
      <c r="E376" s="11"/>
    </row>
    <row r="377" spans="4:5" x14ac:dyDescent="0.25">
      <c r="D377" s="11"/>
      <c r="E377" s="11"/>
    </row>
    <row r="378" spans="4:5" x14ac:dyDescent="0.25">
      <c r="D378" s="11"/>
      <c r="E378" s="11"/>
    </row>
    <row r="379" spans="4:5" x14ac:dyDescent="0.25">
      <c r="D379" s="11"/>
      <c r="E379" s="11"/>
    </row>
    <row r="380" spans="4:5" x14ac:dyDescent="0.25">
      <c r="D380" s="11"/>
      <c r="E380" s="11"/>
    </row>
    <row r="381" spans="4:5" x14ac:dyDescent="0.25">
      <c r="D381" s="11"/>
      <c r="E381" s="11"/>
    </row>
    <row r="382" spans="4:5" x14ac:dyDescent="0.25">
      <c r="D382" s="11"/>
      <c r="E382" s="11"/>
    </row>
    <row r="383" spans="4:5" x14ac:dyDescent="0.25">
      <c r="D383" s="11"/>
      <c r="E383" s="11"/>
    </row>
    <row r="384" spans="4:5" x14ac:dyDescent="0.25">
      <c r="D384" s="11"/>
      <c r="E384" s="11"/>
    </row>
    <row r="385" spans="4:5" x14ac:dyDescent="0.25">
      <c r="D385" s="11"/>
      <c r="E385" s="11"/>
    </row>
    <row r="386" spans="4:5" x14ac:dyDescent="0.25">
      <c r="D386" s="11"/>
      <c r="E386" s="11"/>
    </row>
    <row r="387" spans="4:5" x14ac:dyDescent="0.25">
      <c r="D387" s="11"/>
      <c r="E387" s="11"/>
    </row>
    <row r="388" spans="4:5" x14ac:dyDescent="0.25">
      <c r="D388" s="11"/>
      <c r="E388" s="11"/>
    </row>
    <row r="389" spans="4:5" x14ac:dyDescent="0.25">
      <c r="D389" s="11"/>
      <c r="E389" s="11"/>
    </row>
    <row r="390" spans="4:5" x14ac:dyDescent="0.25">
      <c r="D390" s="11"/>
      <c r="E390" s="11"/>
    </row>
    <row r="391" spans="4:5" x14ac:dyDescent="0.25">
      <c r="D391" s="11"/>
      <c r="E391" s="11"/>
    </row>
    <row r="392" spans="4:5" x14ac:dyDescent="0.25">
      <c r="D392" s="11"/>
      <c r="E392" s="11"/>
    </row>
    <row r="393" spans="4:5" x14ac:dyDescent="0.25">
      <c r="D393" s="11"/>
      <c r="E393" s="11"/>
    </row>
    <row r="394" spans="4:5" x14ac:dyDescent="0.25">
      <c r="D394" s="11"/>
      <c r="E394" s="11"/>
    </row>
    <row r="395" spans="4:5" x14ac:dyDescent="0.25">
      <c r="D395" s="11"/>
      <c r="E395" s="11"/>
    </row>
    <row r="396" spans="4:5" x14ac:dyDescent="0.25">
      <c r="D396" s="11"/>
      <c r="E396" s="11"/>
    </row>
    <row r="397" spans="4:5" x14ac:dyDescent="0.25">
      <c r="D397" s="11"/>
      <c r="E397" s="11"/>
    </row>
    <row r="398" spans="4:5" x14ac:dyDescent="0.25">
      <c r="D398" s="11"/>
      <c r="E398" s="11"/>
    </row>
    <row r="399" spans="4:5" x14ac:dyDescent="0.25">
      <c r="D399" s="11"/>
      <c r="E399" s="11"/>
    </row>
    <row r="400" spans="4:5" x14ac:dyDescent="0.25">
      <c r="D400" s="11"/>
      <c r="E400" s="11"/>
    </row>
    <row r="401" spans="4:5" x14ac:dyDescent="0.25">
      <c r="D401" s="11"/>
      <c r="E401" s="11"/>
    </row>
    <row r="402" spans="4:5" x14ac:dyDescent="0.25">
      <c r="D402" s="11"/>
      <c r="E402" s="11"/>
    </row>
    <row r="403" spans="4:5" x14ac:dyDescent="0.25">
      <c r="D403" s="11"/>
      <c r="E403" s="11"/>
    </row>
    <row r="404" spans="4:5" x14ac:dyDescent="0.25">
      <c r="D404" s="11"/>
      <c r="E404" s="11"/>
    </row>
    <row r="405" spans="4:5" x14ac:dyDescent="0.25">
      <c r="D405" s="11"/>
      <c r="E405" s="11"/>
    </row>
    <row r="406" spans="4:5" x14ac:dyDescent="0.25">
      <c r="D406" s="11"/>
      <c r="E406" s="11"/>
    </row>
    <row r="407" spans="4:5" x14ac:dyDescent="0.25">
      <c r="D407" s="11"/>
      <c r="E407" s="11"/>
    </row>
    <row r="408" spans="4:5" x14ac:dyDescent="0.25">
      <c r="D408" s="11"/>
      <c r="E408" s="11"/>
    </row>
    <row r="409" spans="4:5" x14ac:dyDescent="0.25">
      <c r="D409" s="11"/>
      <c r="E409" s="11"/>
    </row>
    <row r="410" spans="4:5" x14ac:dyDescent="0.25">
      <c r="D410" s="11"/>
      <c r="E410" s="11"/>
    </row>
    <row r="411" spans="4:5" x14ac:dyDescent="0.25">
      <c r="D411" s="11"/>
      <c r="E411" s="11"/>
    </row>
    <row r="412" spans="4:5" x14ac:dyDescent="0.25">
      <c r="D412" s="11"/>
      <c r="E412" s="11"/>
    </row>
    <row r="413" spans="4:5" x14ac:dyDescent="0.25">
      <c r="D413" s="11"/>
      <c r="E413" s="11"/>
    </row>
    <row r="414" spans="4:5" x14ac:dyDescent="0.25">
      <c r="D414" s="11"/>
      <c r="E414" s="11"/>
    </row>
    <row r="415" spans="4:5" x14ac:dyDescent="0.25">
      <c r="D415" s="11"/>
      <c r="E415" s="11"/>
    </row>
    <row r="416" spans="4:5" x14ac:dyDescent="0.25">
      <c r="D416" s="11"/>
      <c r="E416" s="11"/>
    </row>
  </sheetData>
  <mergeCells count="3">
    <mergeCell ref="A1:B1"/>
    <mergeCell ref="D1:E1"/>
    <mergeCell ref="O12:P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521B-EB44-4A15-BE86-7B12D36B6FD1}">
  <dimension ref="A1:H37"/>
  <sheetViews>
    <sheetView workbookViewId="0">
      <selection activeCell="C5" sqref="C5"/>
    </sheetView>
  </sheetViews>
  <sheetFormatPr defaultRowHeight="15" x14ac:dyDescent="0.25"/>
  <cols>
    <col min="2" max="2" width="19.5703125" bestFit="1" customWidth="1"/>
    <col min="3" max="5" width="9.5703125" bestFit="1" customWidth="1"/>
  </cols>
  <sheetData>
    <row r="1" spans="1:8" x14ac:dyDescent="0.25">
      <c r="C1" s="8">
        <f>Damage!E41</f>
        <v>936.51985915128523</v>
      </c>
      <c r="D1" s="8">
        <f>Damage!F41</f>
        <v>1206.0621264555748</v>
      </c>
      <c r="E1" s="8">
        <f>Damage!G41</f>
        <v>1135.4805945062988</v>
      </c>
      <c r="F1" s="8">
        <f>Damage!H41</f>
        <v>589.06441347783573</v>
      </c>
      <c r="G1" s="8">
        <f>Damage!I41</f>
        <v>411.19865766445264</v>
      </c>
      <c r="H1" s="8">
        <f>Damage!J41</f>
        <v>533.46844252747633</v>
      </c>
    </row>
    <row r="2" spans="1:8" x14ac:dyDescent="0.25">
      <c r="A2" t="s">
        <v>31</v>
      </c>
      <c r="C2" cm="1">
        <f t="array" ref="C2:E2">TRANSPOSE('Static Loads'!D3:D5)</f>
        <v>760</v>
      </c>
      <c r="D2">
        <v>760</v>
      </c>
      <c r="E2">
        <v>907</v>
      </c>
      <c r="F2">
        <f>C2</f>
        <v>760</v>
      </c>
      <c r="G2">
        <f t="shared" ref="G2:H2" si="0">D2</f>
        <v>760</v>
      </c>
      <c r="H2">
        <f t="shared" si="0"/>
        <v>907</v>
      </c>
    </row>
    <row r="3" spans="1:8" x14ac:dyDescent="0.25">
      <c r="C3" t="s">
        <v>26</v>
      </c>
      <c r="D3" t="s">
        <v>27</v>
      </c>
      <c r="E3" t="s">
        <v>28</v>
      </c>
      <c r="F3" t="s">
        <v>26</v>
      </c>
      <c r="G3" t="s">
        <v>27</v>
      </c>
      <c r="H3" t="s">
        <v>28</v>
      </c>
    </row>
    <row r="4" spans="1:8" x14ac:dyDescent="0.25">
      <c r="A4" t="s">
        <v>30</v>
      </c>
      <c r="C4">
        <f>160.62</f>
        <v>160.62</v>
      </c>
      <c r="D4">
        <v>174.75</v>
      </c>
      <c r="E4">
        <v>204.4</v>
      </c>
      <c r="F4">
        <v>137.62</v>
      </c>
      <c r="G4">
        <v>122.08</v>
      </c>
      <c r="H4">
        <v>158.9</v>
      </c>
    </row>
    <row r="5" spans="1:8" x14ac:dyDescent="0.25">
      <c r="B5" t="s">
        <v>19</v>
      </c>
      <c r="C5" t="s">
        <v>25</v>
      </c>
      <c r="D5" t="s">
        <v>25</v>
      </c>
      <c r="E5" t="s">
        <v>25</v>
      </c>
      <c r="F5" t="s">
        <v>20</v>
      </c>
      <c r="G5" t="s">
        <v>20</v>
      </c>
      <c r="H5" t="s">
        <v>20</v>
      </c>
    </row>
    <row r="6" spans="1:8" x14ac:dyDescent="0.25">
      <c r="B6">
        <f>'Cyclic Loads'!B6</f>
        <v>20</v>
      </c>
      <c r="C6" s="7">
        <f>$B6/C$2*C$4</f>
        <v>4.2268421052631577</v>
      </c>
      <c r="D6" s="7">
        <f t="shared" ref="D6:H6" si="1">$B6/D$2*D$4</f>
        <v>4.5986842105263159</v>
      </c>
      <c r="E6" s="7">
        <f t="shared" si="1"/>
        <v>4.5071664829106943</v>
      </c>
      <c r="F6" s="7">
        <f t="shared" si="1"/>
        <v>3.621578947368421</v>
      </c>
      <c r="G6" s="7">
        <f t="shared" si="1"/>
        <v>3.2126315789473683</v>
      </c>
      <c r="H6" s="7">
        <f t="shared" si="1"/>
        <v>3.5038588754134508</v>
      </c>
    </row>
    <row r="7" spans="1:8" x14ac:dyDescent="0.25">
      <c r="B7">
        <f>'Cyclic Loads'!B7</f>
        <v>40</v>
      </c>
      <c r="C7" s="7">
        <f t="shared" ref="C7:H37" si="2">$B7/C$2*C$4</f>
        <v>8.4536842105263155</v>
      </c>
      <c r="D7" s="7">
        <f t="shared" si="2"/>
        <v>9.1973684210526319</v>
      </c>
      <c r="E7" s="7">
        <f t="shared" si="2"/>
        <v>9.0143329658213887</v>
      </c>
      <c r="F7" s="7">
        <f t="shared" si="2"/>
        <v>7.243157894736842</v>
      </c>
      <c r="G7" s="7">
        <f t="shared" si="2"/>
        <v>6.4252631578947366</v>
      </c>
      <c r="H7" s="7">
        <f t="shared" si="2"/>
        <v>7.0077177508269015</v>
      </c>
    </row>
    <row r="8" spans="1:8" x14ac:dyDescent="0.25">
      <c r="B8">
        <f>'Cyclic Loads'!B8</f>
        <v>60</v>
      </c>
      <c r="C8" s="7">
        <f t="shared" si="2"/>
        <v>12.680526315789473</v>
      </c>
      <c r="D8" s="7">
        <f t="shared" si="2"/>
        <v>13.796052631578947</v>
      </c>
      <c r="E8" s="7">
        <f t="shared" si="2"/>
        <v>13.521499448732085</v>
      </c>
      <c r="F8" s="7">
        <f t="shared" si="2"/>
        <v>10.864736842105263</v>
      </c>
      <c r="G8" s="7">
        <f t="shared" si="2"/>
        <v>9.6378947368421048</v>
      </c>
      <c r="H8" s="7">
        <f t="shared" si="2"/>
        <v>10.511576626240354</v>
      </c>
    </row>
    <row r="9" spans="1:8" x14ac:dyDescent="0.25">
      <c r="B9">
        <f>'Cyclic Loads'!B9</f>
        <v>80</v>
      </c>
      <c r="C9" s="7">
        <f t="shared" si="2"/>
        <v>16.907368421052631</v>
      </c>
      <c r="D9" s="7">
        <f t="shared" si="2"/>
        <v>18.394736842105264</v>
      </c>
      <c r="E9" s="7">
        <f t="shared" si="2"/>
        <v>18.028665931642777</v>
      </c>
      <c r="F9" s="7">
        <f t="shared" si="2"/>
        <v>14.486315789473684</v>
      </c>
      <c r="G9" s="7">
        <f t="shared" si="2"/>
        <v>12.850526315789473</v>
      </c>
      <c r="H9" s="7">
        <f t="shared" si="2"/>
        <v>14.015435501653803</v>
      </c>
    </row>
    <row r="10" spans="1:8" x14ac:dyDescent="0.25">
      <c r="B10">
        <f>'Cyclic Loads'!B10</f>
        <v>100</v>
      </c>
      <c r="C10" s="7">
        <f t="shared" si="2"/>
        <v>21.13421052631579</v>
      </c>
      <c r="D10" s="7">
        <f t="shared" si="2"/>
        <v>22.993421052631579</v>
      </c>
      <c r="E10" s="7">
        <f t="shared" si="2"/>
        <v>22.535832414553472</v>
      </c>
      <c r="F10" s="7">
        <f t="shared" si="2"/>
        <v>18.107894736842105</v>
      </c>
      <c r="G10" s="7">
        <f t="shared" si="2"/>
        <v>16.06315789473684</v>
      </c>
      <c r="H10" s="7">
        <f t="shared" si="2"/>
        <v>17.519294377067254</v>
      </c>
    </row>
    <row r="11" spans="1:8" x14ac:dyDescent="0.25">
      <c r="B11">
        <f>'Cyclic Loads'!B11</f>
        <v>120</v>
      </c>
      <c r="C11" s="7">
        <f t="shared" si="2"/>
        <v>25.361052631578946</v>
      </c>
      <c r="D11" s="7">
        <f t="shared" si="2"/>
        <v>27.592105263157894</v>
      </c>
      <c r="E11" s="7">
        <f t="shared" si="2"/>
        <v>27.04299889746417</v>
      </c>
      <c r="F11" s="7">
        <f t="shared" si="2"/>
        <v>21.729473684210525</v>
      </c>
      <c r="G11" s="7">
        <f t="shared" si="2"/>
        <v>19.27578947368421</v>
      </c>
      <c r="H11" s="7">
        <f t="shared" si="2"/>
        <v>21.023153252480707</v>
      </c>
    </row>
    <row r="12" spans="1:8" x14ac:dyDescent="0.25">
      <c r="B12">
        <f>'Cyclic Loads'!B12</f>
        <v>140</v>
      </c>
      <c r="C12" s="7">
        <f t="shared" si="2"/>
        <v>29.587894736842106</v>
      </c>
      <c r="D12" s="7">
        <f t="shared" si="2"/>
        <v>32.190789473684205</v>
      </c>
      <c r="E12" s="7">
        <f t="shared" si="2"/>
        <v>31.550165380374864</v>
      </c>
      <c r="F12" s="7">
        <f t="shared" si="2"/>
        <v>25.351052631578948</v>
      </c>
      <c r="G12" s="7">
        <f t="shared" si="2"/>
        <v>22.488421052631576</v>
      </c>
      <c r="H12" s="7">
        <f t="shared" si="2"/>
        <v>24.527012127894157</v>
      </c>
    </row>
    <row r="13" spans="1:8" x14ac:dyDescent="0.25">
      <c r="B13">
        <f>'Cyclic Loads'!B13</f>
        <v>160</v>
      </c>
      <c r="C13" s="7">
        <f t="shared" si="2"/>
        <v>33.814736842105262</v>
      </c>
      <c r="D13" s="7">
        <f t="shared" si="2"/>
        <v>36.789473684210527</v>
      </c>
      <c r="E13" s="7">
        <f t="shared" si="2"/>
        <v>36.057331863285555</v>
      </c>
      <c r="F13" s="7">
        <f t="shared" si="2"/>
        <v>28.972631578947368</v>
      </c>
      <c r="G13" s="7">
        <f t="shared" si="2"/>
        <v>25.701052631578946</v>
      </c>
      <c r="H13" s="7">
        <f t="shared" si="2"/>
        <v>28.030871003307606</v>
      </c>
    </row>
    <row r="14" spans="1:8" x14ac:dyDescent="0.25">
      <c r="B14">
        <f>'Cyclic Loads'!B14</f>
        <v>180</v>
      </c>
      <c r="C14" s="7">
        <f t="shared" si="2"/>
        <v>38.041578947368421</v>
      </c>
      <c r="D14" s="7">
        <f t="shared" si="2"/>
        <v>41.388157894736842</v>
      </c>
      <c r="E14" s="7">
        <f t="shared" si="2"/>
        <v>40.564498346196252</v>
      </c>
      <c r="F14" s="7">
        <f t="shared" si="2"/>
        <v>32.594210526315791</v>
      </c>
      <c r="G14" s="7">
        <f t="shared" si="2"/>
        <v>28.913684210526313</v>
      </c>
      <c r="H14" s="7">
        <f t="shared" si="2"/>
        <v>31.534729878721059</v>
      </c>
    </row>
    <row r="15" spans="1:8" x14ac:dyDescent="0.25">
      <c r="B15">
        <f>'Cyclic Loads'!B15</f>
        <v>200</v>
      </c>
      <c r="C15" s="7">
        <f t="shared" si="2"/>
        <v>42.268421052631581</v>
      </c>
      <c r="D15" s="7">
        <f t="shared" si="2"/>
        <v>45.986842105263158</v>
      </c>
      <c r="E15" s="7">
        <f t="shared" si="2"/>
        <v>45.071664829106943</v>
      </c>
      <c r="F15" s="7">
        <f t="shared" si="2"/>
        <v>36.215789473684211</v>
      </c>
      <c r="G15" s="7">
        <f t="shared" si="2"/>
        <v>32.126315789473679</v>
      </c>
      <c r="H15" s="7">
        <f t="shared" si="2"/>
        <v>35.038588754134508</v>
      </c>
    </row>
    <row r="16" spans="1:8" x14ac:dyDescent="0.25">
      <c r="B16">
        <f>'Cyclic Loads'!B16</f>
        <v>220</v>
      </c>
      <c r="C16" s="7">
        <f t="shared" si="2"/>
        <v>46.49526315789474</v>
      </c>
      <c r="D16" s="7">
        <f t="shared" si="2"/>
        <v>50.585526315789473</v>
      </c>
      <c r="E16" s="7">
        <f t="shared" si="2"/>
        <v>49.578831312017641</v>
      </c>
      <c r="F16" s="7">
        <f t="shared" si="2"/>
        <v>39.837368421052638</v>
      </c>
      <c r="G16" s="7">
        <f t="shared" si="2"/>
        <v>35.338947368421053</v>
      </c>
      <c r="H16" s="7">
        <f t="shared" si="2"/>
        <v>38.542447629547965</v>
      </c>
    </row>
    <row r="17" spans="2:8" x14ac:dyDescent="0.25">
      <c r="B17">
        <f>'Cyclic Loads'!B17</f>
        <v>240</v>
      </c>
      <c r="C17" s="7">
        <f t="shared" si="2"/>
        <v>50.722105263157893</v>
      </c>
      <c r="D17" s="7">
        <f t="shared" si="2"/>
        <v>55.184210526315788</v>
      </c>
      <c r="E17" s="7">
        <f t="shared" si="2"/>
        <v>54.085997794928339</v>
      </c>
      <c r="F17" s="7">
        <f t="shared" si="2"/>
        <v>43.45894736842105</v>
      </c>
      <c r="G17" s="7">
        <f t="shared" si="2"/>
        <v>38.551578947368419</v>
      </c>
      <c r="H17" s="7">
        <f t="shared" si="2"/>
        <v>42.046306504961414</v>
      </c>
    </row>
    <row r="18" spans="2:8" x14ac:dyDescent="0.25">
      <c r="B18">
        <f>'Cyclic Loads'!B18</f>
        <v>260</v>
      </c>
      <c r="C18" s="7">
        <f t="shared" si="2"/>
        <v>54.948947368421052</v>
      </c>
      <c r="D18" s="7">
        <f t="shared" si="2"/>
        <v>59.78289473684211</v>
      </c>
      <c r="E18" s="7">
        <f t="shared" si="2"/>
        <v>58.593164277839037</v>
      </c>
      <c r="F18" s="7">
        <f t="shared" si="2"/>
        <v>47.080526315789477</v>
      </c>
      <c r="G18" s="7">
        <f t="shared" si="2"/>
        <v>41.764210526315793</v>
      </c>
      <c r="H18" s="7">
        <f t="shared" si="2"/>
        <v>45.550165380374864</v>
      </c>
    </row>
    <row r="19" spans="2:8" x14ac:dyDescent="0.25">
      <c r="B19">
        <f>'Cyclic Loads'!B19</f>
        <v>280</v>
      </c>
      <c r="C19" s="7">
        <f t="shared" si="2"/>
        <v>59.175789473684212</v>
      </c>
      <c r="D19" s="7">
        <f t="shared" si="2"/>
        <v>64.381578947368411</v>
      </c>
      <c r="E19" s="7">
        <f t="shared" si="2"/>
        <v>63.100330760749728</v>
      </c>
      <c r="F19" s="7">
        <f t="shared" si="2"/>
        <v>50.702105263157897</v>
      </c>
      <c r="G19" s="7">
        <f t="shared" si="2"/>
        <v>44.976842105263152</v>
      </c>
      <c r="H19" s="7">
        <f t="shared" si="2"/>
        <v>49.054024255788313</v>
      </c>
    </row>
    <row r="20" spans="2:8" x14ac:dyDescent="0.25">
      <c r="B20">
        <f>'Cyclic Loads'!B20</f>
        <v>300</v>
      </c>
      <c r="C20" s="7">
        <f t="shared" si="2"/>
        <v>63.402631578947371</v>
      </c>
      <c r="D20" s="7">
        <f t="shared" si="2"/>
        <v>68.98026315789474</v>
      </c>
      <c r="E20" s="7">
        <f t="shared" si="2"/>
        <v>67.607497243660418</v>
      </c>
      <c r="F20" s="7">
        <f t="shared" si="2"/>
        <v>54.323684210526316</v>
      </c>
      <c r="G20" s="7">
        <f t="shared" si="2"/>
        <v>48.189473684210526</v>
      </c>
      <c r="H20" s="7">
        <f t="shared" si="2"/>
        <v>52.557883131201763</v>
      </c>
    </row>
    <row r="21" spans="2:8" x14ac:dyDescent="0.25">
      <c r="B21">
        <f>'Cyclic Loads'!B21</f>
        <v>320</v>
      </c>
      <c r="C21" s="7">
        <f t="shared" si="2"/>
        <v>67.629473684210524</v>
      </c>
      <c r="D21" s="7">
        <f t="shared" si="2"/>
        <v>73.578947368421055</v>
      </c>
      <c r="E21" s="7">
        <f t="shared" si="2"/>
        <v>72.114663726571109</v>
      </c>
      <c r="F21" s="7">
        <f t="shared" si="2"/>
        <v>57.945263157894736</v>
      </c>
      <c r="G21" s="7">
        <f t="shared" si="2"/>
        <v>51.402105263157893</v>
      </c>
      <c r="H21" s="7">
        <f t="shared" si="2"/>
        <v>56.061742006615212</v>
      </c>
    </row>
    <row r="22" spans="2:8" x14ac:dyDescent="0.25">
      <c r="B22">
        <f>'Cyclic Loads'!B22</f>
        <v>340</v>
      </c>
      <c r="C22" s="7">
        <f t="shared" si="2"/>
        <v>71.856315789473683</v>
      </c>
      <c r="D22" s="7">
        <f t="shared" si="2"/>
        <v>78.17763157894737</v>
      </c>
      <c r="E22" s="7">
        <f t="shared" si="2"/>
        <v>76.621830209481814</v>
      </c>
      <c r="F22" s="7">
        <f t="shared" si="2"/>
        <v>61.566842105263163</v>
      </c>
      <c r="G22" s="7">
        <f t="shared" si="2"/>
        <v>54.614736842105266</v>
      </c>
      <c r="H22" s="7">
        <f t="shared" si="2"/>
        <v>59.565600882028669</v>
      </c>
    </row>
    <row r="23" spans="2:8" x14ac:dyDescent="0.25">
      <c r="B23">
        <f>'Cyclic Loads'!B23</f>
        <v>360</v>
      </c>
      <c r="C23" s="7">
        <f t="shared" si="2"/>
        <v>76.083157894736843</v>
      </c>
      <c r="D23" s="7">
        <f t="shared" si="2"/>
        <v>82.776315789473685</v>
      </c>
      <c r="E23" s="7">
        <f t="shared" si="2"/>
        <v>81.128996692392505</v>
      </c>
      <c r="F23" s="7">
        <f t="shared" si="2"/>
        <v>65.188421052631583</v>
      </c>
      <c r="G23" s="7">
        <f t="shared" si="2"/>
        <v>57.827368421052626</v>
      </c>
      <c r="H23" s="7">
        <f t="shared" si="2"/>
        <v>63.069459757442118</v>
      </c>
    </row>
    <row r="24" spans="2:8" x14ac:dyDescent="0.25">
      <c r="B24">
        <f>'Cyclic Loads'!B24</f>
        <v>380</v>
      </c>
      <c r="C24" s="7">
        <f t="shared" si="2"/>
        <v>80.31</v>
      </c>
      <c r="D24" s="7">
        <f t="shared" si="2"/>
        <v>87.375</v>
      </c>
      <c r="E24" s="7">
        <f t="shared" si="2"/>
        <v>85.636163175303196</v>
      </c>
      <c r="F24" s="7">
        <f t="shared" si="2"/>
        <v>68.81</v>
      </c>
      <c r="G24" s="7">
        <f t="shared" si="2"/>
        <v>61.04</v>
      </c>
      <c r="H24" s="7">
        <f t="shared" si="2"/>
        <v>66.573318632855575</v>
      </c>
    </row>
    <row r="25" spans="2:8" x14ac:dyDescent="0.25">
      <c r="B25">
        <f>'Cyclic Loads'!B25</f>
        <v>400</v>
      </c>
      <c r="C25" s="7">
        <f t="shared" si="2"/>
        <v>84.536842105263162</v>
      </c>
      <c r="D25" s="7">
        <f t="shared" si="2"/>
        <v>91.973684210526315</v>
      </c>
      <c r="E25" s="7">
        <f t="shared" si="2"/>
        <v>90.143329658213887</v>
      </c>
      <c r="F25" s="7">
        <f t="shared" si="2"/>
        <v>72.431578947368422</v>
      </c>
      <c r="G25" s="7">
        <f t="shared" si="2"/>
        <v>64.252631578947359</v>
      </c>
      <c r="H25" s="7">
        <f t="shared" si="2"/>
        <v>70.077177508269017</v>
      </c>
    </row>
    <row r="26" spans="2:8" x14ac:dyDescent="0.25">
      <c r="B26">
        <f>'Cyclic Loads'!B26</f>
        <v>420</v>
      </c>
      <c r="C26" s="7">
        <f t="shared" si="2"/>
        <v>88.763684210526321</v>
      </c>
      <c r="D26" s="7">
        <f t="shared" si="2"/>
        <v>96.572368421052644</v>
      </c>
      <c r="E26" s="7">
        <f t="shared" si="2"/>
        <v>94.650496141124577</v>
      </c>
      <c r="F26" s="7">
        <f t="shared" si="2"/>
        <v>76.053157894736856</v>
      </c>
      <c r="G26" s="7">
        <f t="shared" si="2"/>
        <v>67.465263157894739</v>
      </c>
      <c r="H26" s="7">
        <f t="shared" si="2"/>
        <v>73.581036383682473</v>
      </c>
    </row>
    <row r="27" spans="2:8" x14ac:dyDescent="0.25">
      <c r="B27">
        <f>'Cyclic Loads'!B27</f>
        <v>440</v>
      </c>
      <c r="C27" s="7">
        <f t="shared" si="2"/>
        <v>92.990526315789481</v>
      </c>
      <c r="D27" s="7">
        <f t="shared" si="2"/>
        <v>101.17105263157895</v>
      </c>
      <c r="E27" s="7">
        <f t="shared" si="2"/>
        <v>99.157662624035282</v>
      </c>
      <c r="F27" s="7">
        <f t="shared" si="2"/>
        <v>79.674736842105276</v>
      </c>
      <c r="G27" s="7">
        <f t="shared" si="2"/>
        <v>70.677894736842106</v>
      </c>
      <c r="H27" s="7">
        <f t="shared" si="2"/>
        <v>77.08489525909593</v>
      </c>
    </row>
    <row r="28" spans="2:8" x14ac:dyDescent="0.25">
      <c r="B28">
        <f>'Cyclic Loads'!B28</f>
        <v>460</v>
      </c>
      <c r="C28" s="7">
        <f t="shared" si="2"/>
        <v>97.21736842105264</v>
      </c>
      <c r="D28" s="7">
        <f t="shared" si="2"/>
        <v>105.76973684210526</v>
      </c>
      <c r="E28" s="7">
        <f t="shared" si="2"/>
        <v>103.66482910694597</v>
      </c>
      <c r="F28" s="7">
        <f t="shared" si="2"/>
        <v>83.296315789473681</v>
      </c>
      <c r="G28" s="7">
        <f t="shared" si="2"/>
        <v>73.890526315789472</v>
      </c>
      <c r="H28" s="7">
        <f t="shared" si="2"/>
        <v>80.588754134509372</v>
      </c>
    </row>
    <row r="29" spans="2:8" x14ac:dyDescent="0.25">
      <c r="B29">
        <f>'Cyclic Loads'!B29</f>
        <v>480</v>
      </c>
      <c r="C29" s="7">
        <f t="shared" si="2"/>
        <v>101.44421052631579</v>
      </c>
      <c r="D29" s="7">
        <f t="shared" si="2"/>
        <v>110.36842105263158</v>
      </c>
      <c r="E29" s="7">
        <f t="shared" si="2"/>
        <v>108.17199558985668</v>
      </c>
      <c r="F29" s="7">
        <f t="shared" si="2"/>
        <v>86.917894736842101</v>
      </c>
      <c r="G29" s="7">
        <f t="shared" si="2"/>
        <v>77.103157894736839</v>
      </c>
      <c r="H29" s="7">
        <f t="shared" si="2"/>
        <v>84.092613009922829</v>
      </c>
    </row>
    <row r="30" spans="2:8" x14ac:dyDescent="0.25">
      <c r="B30">
        <f>'Cyclic Loads'!B30</f>
        <v>500</v>
      </c>
      <c r="C30" s="7">
        <f t="shared" si="2"/>
        <v>105.67105263157896</v>
      </c>
      <c r="D30" s="7">
        <f t="shared" si="2"/>
        <v>114.9671052631579</v>
      </c>
      <c r="E30" s="7">
        <f t="shared" si="2"/>
        <v>112.67916207276738</v>
      </c>
      <c r="F30" s="7">
        <f t="shared" si="2"/>
        <v>90.539473684210535</v>
      </c>
      <c r="G30" s="7">
        <f t="shared" si="2"/>
        <v>80.31578947368422</v>
      </c>
      <c r="H30" s="7">
        <f t="shared" si="2"/>
        <v>87.596471885336285</v>
      </c>
    </row>
    <row r="31" spans="2:8" x14ac:dyDescent="0.25">
      <c r="B31">
        <f>'Cyclic Loads'!B31</f>
        <v>520</v>
      </c>
      <c r="C31" s="7">
        <f t="shared" si="2"/>
        <v>109.8978947368421</v>
      </c>
      <c r="D31" s="7">
        <f t="shared" si="2"/>
        <v>119.56578947368422</v>
      </c>
      <c r="E31" s="7">
        <f t="shared" si="2"/>
        <v>117.18632855567807</v>
      </c>
      <c r="F31" s="7">
        <f t="shared" si="2"/>
        <v>94.161052631578954</v>
      </c>
      <c r="G31" s="7">
        <f t="shared" si="2"/>
        <v>83.528421052631586</v>
      </c>
      <c r="H31" s="7">
        <f t="shared" si="2"/>
        <v>91.100330760749728</v>
      </c>
    </row>
    <row r="32" spans="2:8" x14ac:dyDescent="0.25">
      <c r="B32">
        <f>'Cyclic Loads'!B32</f>
        <v>540</v>
      </c>
      <c r="C32" s="7">
        <f t="shared" si="2"/>
        <v>114.12473684210526</v>
      </c>
      <c r="D32" s="7">
        <f t="shared" si="2"/>
        <v>124.16447368421052</v>
      </c>
      <c r="E32" s="7">
        <f t="shared" si="2"/>
        <v>121.69349503858876</v>
      </c>
      <c r="F32" s="7">
        <f t="shared" si="2"/>
        <v>97.782631578947374</v>
      </c>
      <c r="G32" s="7">
        <f t="shared" si="2"/>
        <v>86.741052631578938</v>
      </c>
      <c r="H32" s="7">
        <f t="shared" si="2"/>
        <v>94.604189636163184</v>
      </c>
    </row>
    <row r="33" spans="2:8" x14ac:dyDescent="0.25">
      <c r="B33">
        <f>'Cyclic Loads'!B33</f>
        <v>560</v>
      </c>
      <c r="C33" s="7">
        <f t="shared" si="2"/>
        <v>118.35157894736842</v>
      </c>
      <c r="D33" s="7">
        <f t="shared" si="2"/>
        <v>128.76315789473682</v>
      </c>
      <c r="E33" s="7">
        <f t="shared" si="2"/>
        <v>126.20066152149946</v>
      </c>
      <c r="F33" s="7">
        <f t="shared" si="2"/>
        <v>101.40421052631579</v>
      </c>
      <c r="G33" s="7">
        <f t="shared" si="2"/>
        <v>89.953684210526305</v>
      </c>
      <c r="H33" s="7">
        <f t="shared" si="2"/>
        <v>98.108048511576627</v>
      </c>
    </row>
    <row r="34" spans="2:8" x14ac:dyDescent="0.25">
      <c r="B34">
        <f>'Cyclic Loads'!B34</f>
        <v>580</v>
      </c>
      <c r="C34" s="7">
        <f t="shared" si="2"/>
        <v>122.57842105263158</v>
      </c>
      <c r="D34" s="7">
        <f t="shared" si="2"/>
        <v>133.36184210526318</v>
      </c>
      <c r="E34" s="7">
        <f t="shared" si="2"/>
        <v>130.70782800441015</v>
      </c>
      <c r="F34" s="7">
        <f t="shared" si="2"/>
        <v>105.02578947368421</v>
      </c>
      <c r="G34" s="7">
        <f t="shared" si="2"/>
        <v>93.166315789473686</v>
      </c>
      <c r="H34" s="7">
        <f t="shared" si="2"/>
        <v>101.61190738699008</v>
      </c>
    </row>
    <row r="35" spans="2:8" x14ac:dyDescent="0.25">
      <c r="B35">
        <f>'Cyclic Loads'!B35</f>
        <v>600</v>
      </c>
      <c r="C35" s="7">
        <f t="shared" si="2"/>
        <v>126.80526315789474</v>
      </c>
      <c r="D35" s="7">
        <f t="shared" si="2"/>
        <v>137.96052631578948</v>
      </c>
      <c r="E35" s="7">
        <f t="shared" si="2"/>
        <v>135.21499448732084</v>
      </c>
      <c r="F35" s="7">
        <f t="shared" si="2"/>
        <v>108.64736842105263</v>
      </c>
      <c r="G35" s="7">
        <f t="shared" si="2"/>
        <v>96.378947368421052</v>
      </c>
      <c r="H35" s="7">
        <f t="shared" si="2"/>
        <v>105.11576626240353</v>
      </c>
    </row>
    <row r="36" spans="2:8" x14ac:dyDescent="0.25">
      <c r="B36">
        <f>'Cyclic Loads'!B36</f>
        <v>620</v>
      </c>
      <c r="C36" s="7">
        <f t="shared" si="2"/>
        <v>131.03210526315789</v>
      </c>
      <c r="D36" s="7">
        <f t="shared" si="2"/>
        <v>142.55921052631578</v>
      </c>
      <c r="E36" s="7">
        <f t="shared" si="2"/>
        <v>139.72216097023153</v>
      </c>
      <c r="F36" s="7">
        <f t="shared" si="2"/>
        <v>112.26894736842105</v>
      </c>
      <c r="G36" s="7">
        <f t="shared" si="2"/>
        <v>99.591578947368419</v>
      </c>
      <c r="H36" s="7">
        <f t="shared" si="2"/>
        <v>108.61962513781698</v>
      </c>
    </row>
    <row r="37" spans="2:8" x14ac:dyDescent="0.25">
      <c r="B37">
        <f>'Cyclic Loads'!B37</f>
        <v>640</v>
      </c>
      <c r="C37" s="7">
        <f t="shared" si="2"/>
        <v>135.25894736842105</v>
      </c>
      <c r="D37" s="7">
        <f t="shared" si="2"/>
        <v>147.15789473684211</v>
      </c>
      <c r="E37" s="7">
        <f t="shared" si="2"/>
        <v>144.22932745314222</v>
      </c>
      <c r="F37" s="7">
        <f t="shared" si="2"/>
        <v>115.89052631578947</v>
      </c>
      <c r="G37" s="7">
        <f t="shared" si="2"/>
        <v>102.80421052631579</v>
      </c>
      <c r="H37" s="7">
        <f t="shared" si="2"/>
        <v>112.12348401323042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DC16-2475-48B2-ADD4-987C68EDAA82}">
  <dimension ref="B1:H34"/>
  <sheetViews>
    <sheetView workbookViewId="0">
      <selection activeCell="C2" sqref="C2:H2"/>
    </sheetView>
  </sheetViews>
  <sheetFormatPr defaultRowHeight="15" x14ac:dyDescent="0.25"/>
  <cols>
    <col min="2" max="2" width="19.5703125" bestFit="1" customWidth="1"/>
  </cols>
  <sheetData>
    <row r="1" spans="2:8" x14ac:dyDescent="0.25">
      <c r="C1" t="s">
        <v>21</v>
      </c>
    </row>
    <row r="2" spans="2:8" x14ac:dyDescent="0.25">
      <c r="B2" t="s">
        <v>19</v>
      </c>
      <c r="C2" t="s">
        <v>25</v>
      </c>
      <c r="D2" t="s">
        <v>25</v>
      </c>
      <c r="E2" t="s">
        <v>25</v>
      </c>
      <c r="F2" t="s">
        <v>20</v>
      </c>
      <c r="G2" t="s">
        <v>20</v>
      </c>
      <c r="H2" t="s">
        <v>20</v>
      </c>
    </row>
    <row r="3" spans="2:8" x14ac:dyDescent="0.25">
      <c r="B3">
        <f>'Cyclic Loads'!B6</f>
        <v>20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2:8" x14ac:dyDescent="0.25">
      <c r="B4">
        <f>'Cyclic Loads'!B7</f>
        <v>40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2:8" x14ac:dyDescent="0.25">
      <c r="B5">
        <f>'Cyclic Loads'!B8</f>
        <v>60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2:8" x14ac:dyDescent="0.25">
      <c r="B6">
        <f>'Cyclic Loads'!B9</f>
        <v>80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2:8" x14ac:dyDescent="0.25">
      <c r="B7">
        <f>'Cyclic Loads'!B10</f>
        <v>100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2:8" x14ac:dyDescent="0.25">
      <c r="B8">
        <f>'Cyclic Loads'!B11</f>
        <v>120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2:8" x14ac:dyDescent="0.25">
      <c r="B9">
        <f>'Cyclic Loads'!B12</f>
        <v>140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2:8" x14ac:dyDescent="0.25">
      <c r="B10">
        <f>'Cyclic Loads'!B13</f>
        <v>160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2:8" x14ac:dyDescent="0.25">
      <c r="B11">
        <f>'Cyclic Loads'!B14</f>
        <v>180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2:8" x14ac:dyDescent="0.25">
      <c r="B12">
        <f>'Cyclic Loads'!B15</f>
        <v>200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2:8" x14ac:dyDescent="0.25">
      <c r="B13">
        <f>'Cyclic Loads'!B16</f>
        <v>220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2:8" x14ac:dyDescent="0.25">
      <c r="B14">
        <f>'Cyclic Loads'!B17</f>
        <v>240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2:8" x14ac:dyDescent="0.25">
      <c r="B15">
        <f>'Cyclic Loads'!B18</f>
        <v>260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2:8" x14ac:dyDescent="0.25">
      <c r="B16">
        <f>'Cyclic Loads'!B19</f>
        <v>280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2:8" x14ac:dyDescent="0.25">
      <c r="B17">
        <f>'Cyclic Loads'!B20</f>
        <v>300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2:8" x14ac:dyDescent="0.25">
      <c r="B18">
        <f>'Cyclic Loads'!B21</f>
        <v>320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2:8" x14ac:dyDescent="0.25">
      <c r="B19">
        <f>'Cyclic Loads'!B22</f>
        <v>340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2:8" x14ac:dyDescent="0.25">
      <c r="B20">
        <f>'Cyclic Loads'!B23</f>
        <v>360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</row>
    <row r="21" spans="2:8" x14ac:dyDescent="0.25">
      <c r="B21">
        <f>'Cyclic Loads'!B24</f>
        <v>380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</row>
    <row r="22" spans="2:8" x14ac:dyDescent="0.25">
      <c r="B22">
        <f>'Cyclic Loads'!B25</f>
        <v>400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2:8" x14ac:dyDescent="0.25">
      <c r="B23">
        <f>'Cyclic Loads'!B26</f>
        <v>420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</row>
    <row r="24" spans="2:8" x14ac:dyDescent="0.25">
      <c r="B24">
        <f>'Cyclic Loads'!B27</f>
        <v>440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</row>
    <row r="25" spans="2:8" x14ac:dyDescent="0.25">
      <c r="B25">
        <f>'Cyclic Loads'!B28</f>
        <v>460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2:8" x14ac:dyDescent="0.25">
      <c r="B26">
        <f>'Cyclic Loads'!B29</f>
        <v>480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</row>
    <row r="27" spans="2:8" x14ac:dyDescent="0.25">
      <c r="B27">
        <f>'Cyclic Loads'!B30</f>
        <v>500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</row>
    <row r="28" spans="2:8" x14ac:dyDescent="0.25">
      <c r="B28">
        <f>'Cyclic Loads'!B31</f>
        <v>520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</row>
    <row r="29" spans="2:8" x14ac:dyDescent="0.25">
      <c r="B29">
        <f>'Cyclic Loads'!B32</f>
        <v>540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2:8" x14ac:dyDescent="0.25">
      <c r="B30">
        <f>'Cyclic Loads'!B33</f>
        <v>560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</row>
    <row r="31" spans="2:8" x14ac:dyDescent="0.25">
      <c r="B31">
        <f>'Cyclic Loads'!B34</f>
        <v>580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</row>
    <row r="32" spans="2:8" x14ac:dyDescent="0.25">
      <c r="B32">
        <f>'Cyclic Loads'!B35</f>
        <v>600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</row>
    <row r="33" spans="2:8" x14ac:dyDescent="0.25">
      <c r="B33">
        <f>'Cyclic Loads'!B36</f>
        <v>620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</row>
    <row r="34" spans="2:8" x14ac:dyDescent="0.25">
      <c r="B34">
        <f>'Cyclic Loads'!B37</f>
        <v>640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0F9-700D-4CB8-8784-8F0938BDA211}">
  <dimension ref="B1:J41"/>
  <sheetViews>
    <sheetView topLeftCell="A4" workbookViewId="0">
      <selection activeCell="M22" sqref="M22"/>
    </sheetView>
  </sheetViews>
  <sheetFormatPr defaultRowHeight="15" x14ac:dyDescent="0.25"/>
  <cols>
    <col min="3" max="3" width="10" bestFit="1" customWidth="1"/>
    <col min="4" max="4" width="10" customWidth="1"/>
  </cols>
  <sheetData>
    <row r="1" spans="2:10" x14ac:dyDescent="0.25">
      <c r="D1" t="s">
        <v>22</v>
      </c>
      <c r="E1">
        <v>3</v>
      </c>
    </row>
    <row r="2" spans="2:10" x14ac:dyDescent="0.25">
      <c r="D2" t="s">
        <v>29</v>
      </c>
      <c r="E2">
        <v>10.57</v>
      </c>
      <c r="F2" t="s">
        <v>23</v>
      </c>
      <c r="G2">
        <f>10^E2</f>
        <v>37153522909.717331</v>
      </c>
    </row>
    <row r="3" spans="2:10" x14ac:dyDescent="0.25">
      <c r="D3" t="s">
        <v>21</v>
      </c>
      <c r="E3">
        <v>1</v>
      </c>
    </row>
    <row r="4" spans="2:10" x14ac:dyDescent="0.25">
      <c r="D4" t="s">
        <v>41</v>
      </c>
      <c r="E4">
        <v>0.5</v>
      </c>
    </row>
    <row r="5" spans="2:10" x14ac:dyDescent="0.25">
      <c r="D5" t="s">
        <v>42</v>
      </c>
      <c r="E5">
        <v>0.25</v>
      </c>
    </row>
    <row r="7" spans="2:10" x14ac:dyDescent="0.25">
      <c r="B7" t="s">
        <v>19</v>
      </c>
      <c r="C7" s="5" t="s">
        <v>24</v>
      </c>
      <c r="D7" s="5"/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</row>
    <row r="8" spans="2:10" x14ac:dyDescent="0.25">
      <c r="B8">
        <v>20</v>
      </c>
      <c r="C8" s="11">
        <f>'Cyclic Loads'!C6</f>
        <v>113175120</v>
      </c>
      <c r="E8" s="6">
        <f>1/$G$2*$C8*(Stress!C6*SCF!C3*$E$4^$E$5)^$E$1</f>
        <v>0.13678124164489641</v>
      </c>
      <c r="F8" s="6">
        <f>1/$G$2*$C8*(Stress!D6*SCF!D3*$E$4^$E$5)^$E$1</f>
        <v>0.17614861398345313</v>
      </c>
      <c r="G8" s="6">
        <f>1/$G$2*$C8*(Stress!E6*SCF!E3*$E$4^$E$5)^$E$1</f>
        <v>0.16583999160573865</v>
      </c>
      <c r="H8" s="6">
        <f>1/$G$2*$C8*(Stress!F6*SCF!F3*$E$4^$E$5)^$E$1</f>
        <v>8.6034440270534918E-2</v>
      </c>
      <c r="I8" s="6">
        <f>1/$G$2*$C8*(Stress!G6*SCF!G3*$E$4^$E$5)^$E$1</f>
        <v>6.0056668749159783E-2</v>
      </c>
      <c r="J8" s="6">
        <f>1/$G$2*$C8*(Stress!H6*SCF!H3*$E$4^$E$5)^$E$1</f>
        <v>7.7914499339506199E-2</v>
      </c>
    </row>
    <row r="9" spans="2:10" x14ac:dyDescent="0.25">
      <c r="B9">
        <v>40</v>
      </c>
      <c r="C9" s="11">
        <f>'Cyclic Loads'!C7</f>
        <v>8992800</v>
      </c>
      <c r="E9" s="6">
        <f>1/$G$2*$C9*(Stress!C7*SCF!C4*$E$4^$E$5)^$E$1</f>
        <v>8.6948180827321364E-2</v>
      </c>
      <c r="F9" s="6">
        <f>1/$G$2*$C9*(Stress!D7*SCF!D4*$E$4^$E$5)^$E$1</f>
        <v>0.11197296761552519</v>
      </c>
      <c r="G9" s="6">
        <f>1/$G$2*$C9*(Stress!E7*SCF!E4*$E$4^$E$5)^$E$1</f>
        <v>0.1054200517931564</v>
      </c>
      <c r="H9" s="6">
        <f>1/$G$2*$C9*(Stress!F7*SCF!F4*$E$4^$E$5)^$E$1</f>
        <v>5.4689795033740017E-2</v>
      </c>
      <c r="I9" s="6">
        <f>1/$G$2*$C9*(Stress!G7*SCF!G4*$E$4^$E$5)^$E$1</f>
        <v>3.8176419745077829E-2</v>
      </c>
      <c r="J9" s="6">
        <f>1/$G$2*$C9*(Stress!H7*SCF!H4*$E$4^$E$5)^$E$1</f>
        <v>4.9528165530396531E-2</v>
      </c>
    </row>
    <row r="10" spans="2:10" x14ac:dyDescent="0.25">
      <c r="B10">
        <v>60</v>
      </c>
      <c r="C10" s="11">
        <f>'Cyclic Loads'!C8</f>
        <v>2697360</v>
      </c>
      <c r="E10" s="6">
        <f>1/$G$2*$C10*(Stress!C8*SCF!C5*$E$4^$E$5)^$E$1</f>
        <v>8.8019369884551474E-2</v>
      </c>
      <c r="F10" s="6">
        <f>1/$G$2*$C10*(Stress!D8*SCF!D5*$E$4^$E$5)^$E$1</f>
        <v>0.11335245843953144</v>
      </c>
      <c r="G10" s="6">
        <f>1/$G$2*$C10*(Stress!E8*SCF!E5*$E$4^$E$5)^$E$1</f>
        <v>0.10671881163860657</v>
      </c>
      <c r="H10" s="6">
        <f>1/$G$2*$C10*(Stress!F8*SCF!F5*$E$4^$E$5)^$E$1</f>
        <v>5.5363565426919885E-2</v>
      </c>
      <c r="I10" s="6">
        <f>1/$G$2*$C10*(Stress!G8*SCF!G5*$E$4^$E$5)^$E$1</f>
        <v>3.8646747734531299E-2</v>
      </c>
      <c r="J10" s="6">
        <f>1/$G$2*$C10*(Stress!H8*SCF!H5*$E$4^$E$5)^$E$1</f>
        <v>5.0138345391964989E-2</v>
      </c>
    </row>
    <row r="11" spans="2:10" x14ac:dyDescent="0.25">
      <c r="B11">
        <v>80</v>
      </c>
      <c r="C11" s="11">
        <f>'Cyclic Loads'!C9</f>
        <v>2354480</v>
      </c>
      <c r="E11" s="6">
        <f>1/$G$2*$C11*(Stress!C9*SCF!C6*$E$4^$E$5)^$E$1</f>
        <v>0.18211702944071845</v>
      </c>
      <c r="F11" s="6">
        <f>1/$G$2*$C11*(Stress!D9*SCF!D6*$E$4^$E$5)^$E$1</f>
        <v>0.23453261524010474</v>
      </c>
      <c r="G11" s="6">
        <f>1/$G$2*$C11*(Stress!E9*SCF!E6*$E$4^$E$5)^$E$1</f>
        <v>0.22080722671110301</v>
      </c>
      <c r="H11" s="6">
        <f>1/$G$2*$C11*(Stress!F9*SCF!F6*$E$4^$E$5)^$E$1</f>
        <v>0.11455033236459407</v>
      </c>
      <c r="I11" s="6">
        <f>1/$G$2*$C11*(Stress!G9*SCF!G6*$E$4^$E$5)^$E$1</f>
        <v>7.9962295846802645E-2</v>
      </c>
      <c r="J11" s="6">
        <f>1/$G$2*$C11*(Stress!H9*SCF!H6*$E$4^$E$5)^$E$1</f>
        <v>0.1037390580713531</v>
      </c>
    </row>
    <row r="12" spans="2:10" x14ac:dyDescent="0.25">
      <c r="B12">
        <v>100</v>
      </c>
      <c r="C12" s="11">
        <f>'Cyclic Loads'!C10</f>
        <v>1779480</v>
      </c>
      <c r="E12" s="6">
        <f>1/$G$2*$C12*(Stress!C10*SCF!C7*$E$4^$E$5)^$E$1</f>
        <v>0.26883060062390512</v>
      </c>
      <c r="F12" s="6">
        <f>1/$G$2*$C12*(Stress!D10*SCF!D7*$E$4^$E$5)^$E$1</f>
        <v>0.34620344958688265</v>
      </c>
      <c r="G12" s="6">
        <f>1/$G$2*$C12*(Stress!E10*SCF!E7*$E$4^$E$5)^$E$1</f>
        <v>0.32594282676989833</v>
      </c>
      <c r="H12" s="6">
        <f>1/$G$2*$C12*(Stress!F10*SCF!F7*$E$4^$E$5)^$E$1</f>
        <v>0.16909255958002456</v>
      </c>
      <c r="I12" s="6">
        <f>1/$G$2*$C12*(Stress!G10*SCF!G7*$E$4^$E$5)^$E$1</f>
        <v>0.11803570531420113</v>
      </c>
      <c r="J12" s="6">
        <f>1/$G$2*$C12*(Stress!H10*SCF!H7*$E$4^$E$5)^$E$1</f>
        <v>0.15313358325207047</v>
      </c>
    </row>
    <row r="13" spans="2:10" x14ac:dyDescent="0.25">
      <c r="B13">
        <v>120</v>
      </c>
      <c r="C13" s="11">
        <f>'Cyclic Loads'!C11</f>
        <v>1873720</v>
      </c>
      <c r="E13" s="6">
        <f>1/$G$2*$C13*(Stress!C11*SCF!C8*$E$4^$E$5)^$E$1</f>
        <v>0.48914094889842452</v>
      </c>
      <c r="F13" s="6">
        <f>1/$G$2*$C13*(Stress!D11*SCF!D8*$E$4^$E$5)^$E$1</f>
        <v>0.62992190416501714</v>
      </c>
      <c r="G13" s="6">
        <f>1/$G$2*$C13*(Stress!E11*SCF!E8*$E$4^$E$5)^$E$1</f>
        <v>0.59305742427704089</v>
      </c>
      <c r="H13" s="6">
        <f>1/$G$2*$C13*(Stress!F11*SCF!F8*$E$4^$E$5)^$E$1</f>
        <v>0.30766622122884102</v>
      </c>
      <c r="I13" s="6">
        <f>1/$G$2*$C13*(Stress!G11*SCF!G8*$E$4^$E$5)^$E$1</f>
        <v>0.21476757767638277</v>
      </c>
      <c r="J13" s="6">
        <f>1/$G$2*$C13*(Stress!H11*SCF!H8*$E$4^$E$5)^$E$1</f>
        <v>0.2786286458695395</v>
      </c>
    </row>
    <row r="14" spans="2:10" x14ac:dyDescent="0.25">
      <c r="B14">
        <v>140</v>
      </c>
      <c r="C14" s="11">
        <f>'Cyclic Loads'!C12</f>
        <v>1909960</v>
      </c>
      <c r="E14" s="6">
        <f>1/$G$2*$C14*(Stress!C12*SCF!C9*$E$4^$E$5)^$E$1</f>
        <v>0.79176075271831492</v>
      </c>
      <c r="F14" s="6">
        <f>1/$G$2*$C14*(Stress!D12*SCF!D9*$E$4^$E$5)^$E$1</f>
        <v>1.0196395172366124</v>
      </c>
      <c r="G14" s="6">
        <f>1/$G$2*$C14*(Stress!E12*SCF!E9*$E$4^$E$5)^$E$1</f>
        <v>0.95996786551657931</v>
      </c>
      <c r="H14" s="6">
        <f>1/$G$2*$C14*(Stress!F12*SCF!F9*$E$4^$E$5)^$E$1</f>
        <v>0.49801195229053014</v>
      </c>
      <c r="I14" s="6">
        <f>1/$G$2*$C14*(Stress!G12*SCF!G9*$E$4^$E$5)^$E$1</f>
        <v>0.34763914029993337</v>
      </c>
      <c r="J14" s="6">
        <f>1/$G$2*$C14*(Stress!H12*SCF!H9*$E$4^$E$5)^$E$1</f>
        <v>0.45100952369531183</v>
      </c>
    </row>
    <row r="15" spans="2:10" x14ac:dyDescent="0.25">
      <c r="B15">
        <v>160</v>
      </c>
      <c r="C15" s="11">
        <f>'Cyclic Loads'!C13</f>
        <v>1567120</v>
      </c>
      <c r="E15" s="6">
        <f>1/$G$2*$C15*(Stress!C13*SCF!C10*$E$4^$E$5)^$E$1</f>
        <v>0.96972321422017149</v>
      </c>
      <c r="F15" s="6">
        <f>1/$G$2*$C15*(Stress!D13*SCF!D10*$E$4^$E$5)^$E$1</f>
        <v>1.2488218273081884</v>
      </c>
      <c r="G15" s="6">
        <f>1/$G$2*$C15*(Stress!E13*SCF!E10*$E$4^$E$5)^$E$1</f>
        <v>1.1757378992338137</v>
      </c>
      <c r="H15" s="6">
        <f>1/$G$2*$C15*(Stress!F13*SCF!F10*$E$4^$E$5)^$E$1</f>
        <v>0.60994909060243507</v>
      </c>
      <c r="I15" s="6">
        <f>1/$G$2*$C15*(Stress!G13*SCF!G10*$E$4^$E$5)^$E$1</f>
        <v>0.42577728608420151</v>
      </c>
      <c r="J15" s="6">
        <f>1/$G$2*$C15*(Stress!H13*SCF!H10*$E$4^$E$5)^$E$1</f>
        <v>0.55238202128632685</v>
      </c>
    </row>
    <row r="16" spans="2:10" x14ac:dyDescent="0.25">
      <c r="B16">
        <v>180</v>
      </c>
      <c r="C16" s="11">
        <f>'Cyclic Loads'!C14</f>
        <v>1637440</v>
      </c>
      <c r="E16" s="6">
        <f>1/$G$2*$C16*(Stress!C14*SCF!C11*$E$4^$E$5)^$E$1</f>
        <v>1.4426749857792507</v>
      </c>
      <c r="F16" s="6">
        <f>1/$G$2*$C16*(Stress!D14*SCF!D11*$E$4^$E$5)^$E$1</f>
        <v>1.8578951040184155</v>
      </c>
      <c r="G16" s="6">
        <f>1/$G$2*$C16*(Stress!E14*SCF!E11*$E$4^$E$5)^$E$1</f>
        <v>1.7491668057274647</v>
      </c>
      <c r="H16" s="6">
        <f>1/$G$2*$C16*(Stress!F14*SCF!F11*$E$4^$E$5)^$E$1</f>
        <v>0.90743243299437426</v>
      </c>
      <c r="I16" s="6">
        <f>1/$G$2*$C16*(Stress!G14*SCF!G11*$E$4^$E$5)^$E$1</f>
        <v>0.63343666640034513</v>
      </c>
      <c r="J16" s="6">
        <f>1/$G$2*$C16*(Stress!H14*SCF!H11*$E$4^$E$5)^$E$1</f>
        <v>0.82178884966141597</v>
      </c>
    </row>
    <row r="17" spans="2:10" x14ac:dyDescent="0.25">
      <c r="B17">
        <v>200</v>
      </c>
      <c r="C17" s="11">
        <f>'Cyclic Loads'!C15</f>
        <v>1907560</v>
      </c>
      <c r="E17" s="6">
        <f>1/$G$2*$C17*(Stress!C15*SCF!C12*$E$4^$E$5)^$E$1</f>
        <v>2.3054397937650841</v>
      </c>
      <c r="F17" s="6">
        <f>1/$G$2*$C17*(Stress!D15*SCF!D12*$E$4^$E$5)^$E$1</f>
        <v>2.9689745421986369</v>
      </c>
      <c r="G17" s="6">
        <f>1/$G$2*$C17*(Stress!E15*SCF!E12*$E$4^$E$5)^$E$1</f>
        <v>2.7952233175228147</v>
      </c>
      <c r="H17" s="6">
        <f>1/$G$2*$C17*(Stress!F15*SCF!F12*$E$4^$E$5)^$E$1</f>
        <v>1.4501054373298792</v>
      </c>
      <c r="I17" s="6">
        <f>1/$G$2*$C17*(Stress!G15*SCF!G12*$E$4^$E$5)^$E$1</f>
        <v>1.0122516242010362</v>
      </c>
      <c r="J17" s="6">
        <f>1/$G$2*$C17*(Stress!H15*SCF!H12*$E$4^$E$5)^$E$1</f>
        <v>1.3132443098807272</v>
      </c>
    </row>
    <row r="18" spans="2:10" x14ac:dyDescent="0.25">
      <c r="B18">
        <v>220</v>
      </c>
      <c r="C18" s="11">
        <f>'Cyclic Loads'!C16</f>
        <v>1943520</v>
      </c>
      <c r="E18" s="6">
        <f>1/$G$2*$C18*(Stress!C16*SCF!C13*$E$4^$E$5)^$E$1</f>
        <v>3.1263863632908744</v>
      </c>
      <c r="F18" s="6">
        <f>1/$G$2*$C18*(Stress!D16*SCF!D13*$E$4^$E$5)^$E$1</f>
        <v>4.02619992367209</v>
      </c>
      <c r="G18" s="6">
        <f>1/$G$2*$C18*(Stress!E16*SCF!E13*$E$4^$E$5)^$E$1</f>
        <v>3.7905774359798685</v>
      </c>
      <c r="H18" s="6">
        <f>1/$G$2*$C18*(Stress!F16*SCF!F13*$E$4^$E$5)^$E$1</f>
        <v>1.9664750633969674</v>
      </c>
      <c r="I18" s="6">
        <f>1/$G$2*$C18*(Stress!G16*SCF!G13*$E$4^$E$5)^$E$1</f>
        <v>1.3727054086078774</v>
      </c>
      <c r="J18" s="6">
        <f>1/$G$2*$C18*(Stress!H16*SCF!H13*$E$4^$E$5)^$E$1</f>
        <v>1.7808789078700178</v>
      </c>
    </row>
    <row r="19" spans="2:10" x14ac:dyDescent="0.25">
      <c r="B19">
        <v>240</v>
      </c>
      <c r="C19" s="11">
        <f>'Cyclic Loads'!C17</f>
        <v>2191360</v>
      </c>
      <c r="E19" s="6">
        <f>1/$G$2*$C19*(Stress!C17*SCF!C14*$E$4^$E$5)^$E$1</f>
        <v>4.5764955693617049</v>
      </c>
      <c r="F19" s="6">
        <f>1/$G$2*$C19*(Stress!D17*SCF!D14*$E$4^$E$5)^$E$1</f>
        <v>5.8936689106635018</v>
      </c>
      <c r="G19" s="6">
        <f>1/$G$2*$C19*(Stress!E17*SCF!E14*$E$4^$E$5)^$E$1</f>
        <v>5.5487578390100403</v>
      </c>
      <c r="H19" s="6">
        <f>1/$G$2*$C19*(Stress!F17*SCF!F14*$E$4^$E$5)^$E$1</f>
        <v>2.8785835687382666</v>
      </c>
      <c r="I19" s="6">
        <f>1/$G$2*$C19*(Stress!G17*SCF!G14*$E$4^$E$5)^$E$1</f>
        <v>2.0094062251218676</v>
      </c>
      <c r="J19" s="6">
        <f>1/$G$2*$C19*(Stress!H17*SCF!H14*$E$4^$E$5)^$E$1</f>
        <v>2.6069025016018363</v>
      </c>
    </row>
    <row r="20" spans="2:10" x14ac:dyDescent="0.25">
      <c r="B20">
        <v>260</v>
      </c>
      <c r="C20" s="11">
        <f>'Cyclic Loads'!C18</f>
        <v>2003720</v>
      </c>
      <c r="E20" s="6">
        <f>1/$G$2*$C20*(Stress!C18*SCF!C15*$E$4^$E$5)^$E$1</f>
        <v>5.3203801947869795</v>
      </c>
      <c r="F20" s="6">
        <f>1/$G$2*$C20*(Stress!D18*SCF!D15*$E$4^$E$5)^$E$1</f>
        <v>6.8516529452904615</v>
      </c>
      <c r="G20" s="6">
        <f>1/$G$2*$C20*(Stress!E18*SCF!E15*$E$4^$E$5)^$E$1</f>
        <v>6.4506784426878516</v>
      </c>
      <c r="H20" s="6">
        <f>1/$G$2*$C20*(Stress!F18*SCF!F15*$E$4^$E$5)^$E$1</f>
        <v>3.3464817732338261</v>
      </c>
      <c r="I20" s="6">
        <f>1/$G$2*$C20*(Stress!G18*SCF!G15*$E$4^$E$5)^$E$1</f>
        <v>2.3360243490656614</v>
      </c>
      <c r="J20" s="6">
        <f>1/$G$2*$C20*(Stress!H18*SCF!H15*$E$4^$E$5)^$E$1</f>
        <v>3.0306404166796752</v>
      </c>
    </row>
    <row r="21" spans="2:10" x14ac:dyDescent="0.25">
      <c r="B21">
        <v>280</v>
      </c>
      <c r="C21" s="11">
        <f>'Cyclic Loads'!C19</f>
        <v>2211840</v>
      </c>
      <c r="E21" s="6">
        <f>1/$G$2*$C21*(Stress!C19*SCF!C16*$E$4^$E$5)^$E$1</f>
        <v>7.3352242069675926</v>
      </c>
      <c r="F21" s="6">
        <f>1/$G$2*$C21*(Stress!D19*SCF!D16*$E$4^$E$5)^$E$1</f>
        <v>9.4463945624186021</v>
      </c>
      <c r="G21" s="6">
        <f>1/$G$2*$C21*(Stress!E19*SCF!E16*$E$4^$E$5)^$E$1</f>
        <v>8.8935698073852478</v>
      </c>
      <c r="H21" s="6">
        <f>1/$G$2*$C21*(Stress!F19*SCF!F16*$E$4^$E$5)^$E$1</f>
        <v>4.613804505033765</v>
      </c>
      <c r="I21" s="6">
        <f>1/$G$2*$C21*(Stress!G19*SCF!G16*$E$4^$E$5)^$E$1</f>
        <v>3.2206838094243007</v>
      </c>
      <c r="J21" s="6">
        <f>1/$G$2*$C21*(Stress!H19*SCF!H16*$E$4^$E$5)^$E$1</f>
        <v>4.178353074997335</v>
      </c>
    </row>
    <row r="22" spans="2:10" x14ac:dyDescent="0.25">
      <c r="B22">
        <v>300</v>
      </c>
      <c r="C22" s="11">
        <f>'Cyclic Loads'!C20</f>
        <v>2062200</v>
      </c>
      <c r="E22" s="6">
        <f>1/$G$2*$C22*(Stress!C20*SCF!C17*$E$4^$E$5)^$E$1</f>
        <v>8.4116295459227768</v>
      </c>
      <c r="F22" s="6">
        <f>1/$G$2*$C22*(Stress!D20*SCF!D17*$E$4^$E$5)^$E$1</f>
        <v>10.832602980043534</v>
      </c>
      <c r="G22" s="6">
        <f>1/$G$2*$C22*(Stress!E20*SCF!E17*$E$4^$E$5)^$E$1</f>
        <v>10.198654117411763</v>
      </c>
      <c r="H22" s="6">
        <f>1/$G$2*$C22*(Stress!F20*SCF!F17*$E$4^$E$5)^$E$1</f>
        <v>5.2908559027806001</v>
      </c>
      <c r="I22" s="6">
        <f>1/$G$2*$C22*(Stress!G20*SCF!G17*$E$4^$E$5)^$E$1</f>
        <v>3.6933021166135807</v>
      </c>
      <c r="J22" s="6">
        <f>1/$G$2*$C22*(Stress!H20*SCF!H17*$E$4^$E$5)^$E$1</f>
        <v>4.7915042795228562</v>
      </c>
    </row>
    <row r="23" spans="2:10" x14ac:dyDescent="0.25">
      <c r="B23">
        <v>320</v>
      </c>
      <c r="C23" s="11">
        <f>'Cyclic Loads'!C21</f>
        <v>2463560</v>
      </c>
      <c r="E23" s="6">
        <f>1/$G$2*$C23*(Stress!C21*SCF!C18*$E$4^$E$5)^$E$1</f>
        <v>12.195473590404031</v>
      </c>
      <c r="F23" s="6">
        <f>1/$G$2*$C23*(Stress!D21*SCF!D18*$E$4^$E$5)^$E$1</f>
        <v>15.705485225807141</v>
      </c>
      <c r="G23" s="6">
        <f>1/$G$2*$C23*(Stress!E21*SCF!E18*$E$4^$E$5)^$E$1</f>
        <v>14.78636407696388</v>
      </c>
      <c r="H23" s="6">
        <f>1/$G$2*$C23*(Stress!F21*SCF!F18*$E$4^$E$5)^$E$1</f>
        <v>7.6708672297949612</v>
      </c>
      <c r="I23" s="6">
        <f>1/$G$2*$C23*(Stress!G21*SCF!G18*$E$4^$E$5)^$E$1</f>
        <v>5.3546780892623183</v>
      </c>
      <c r="J23" s="6">
        <f>1/$G$2*$C23*(Stress!H21*SCF!H18*$E$4^$E$5)^$E$1</f>
        <v>6.9468898481808337</v>
      </c>
    </row>
    <row r="24" spans="2:10" x14ac:dyDescent="0.25">
      <c r="B24">
        <v>340</v>
      </c>
      <c r="C24" s="11">
        <f>'Cyclic Loads'!C22</f>
        <v>2092480</v>
      </c>
      <c r="E24" s="6">
        <f>1/$G$2*$C24*(Stress!C22*SCF!C19*$E$4^$E$5)^$E$1</f>
        <v>12.424635533822057</v>
      </c>
      <c r="F24" s="6">
        <f>1/$G$2*$C24*(Stress!D22*SCF!D19*$E$4^$E$5)^$E$1</f>
        <v>16.000602876629731</v>
      </c>
      <c r="G24" s="6">
        <f>1/$G$2*$C24*(Stress!E22*SCF!E19*$E$4^$E$5)^$E$1</f>
        <v>15.064210763510744</v>
      </c>
      <c r="H24" s="6">
        <f>1/$G$2*$C24*(Stress!F22*SCF!F19*$E$4^$E$5)^$E$1</f>
        <v>7.8150084826172082</v>
      </c>
      <c r="I24" s="6">
        <f>1/$G$2*$C24*(Stress!G22*SCF!G19*$E$4^$E$5)^$E$1</f>
        <v>5.4552964398509189</v>
      </c>
      <c r="J24" s="6">
        <f>1/$G$2*$C24*(Stress!H22*SCF!H19*$E$4^$E$5)^$E$1</f>
        <v>7.077427032039993</v>
      </c>
    </row>
    <row r="25" spans="2:10" x14ac:dyDescent="0.25">
      <c r="B25">
        <v>360</v>
      </c>
      <c r="C25" s="11">
        <f>'Cyclic Loads'!C23</f>
        <v>2058080</v>
      </c>
      <c r="E25" s="6">
        <f>1/$G$2*$C25*(Stress!C23*SCF!C20*$E$4^$E$5)^$E$1</f>
        <v>14.50625627678601</v>
      </c>
      <c r="F25" s="6">
        <f>1/$G$2*$C25*(Stress!D23*SCF!D20*$E$4^$E$5)^$E$1</f>
        <v>18.681340412733146</v>
      </c>
      <c r="G25" s="6">
        <f>1/$G$2*$C25*(Stress!E23*SCF!E20*$E$4^$E$5)^$E$1</f>
        <v>17.588065368045637</v>
      </c>
      <c r="H25" s="6">
        <f>1/$G$2*$C25*(Stress!F23*SCF!F20*$E$4^$E$5)^$E$1</f>
        <v>9.1243333090534584</v>
      </c>
      <c r="I25" s="6">
        <f>1/$G$2*$C25*(Stress!G23*SCF!G20*$E$4^$E$5)^$E$1</f>
        <v>6.3692756223628217</v>
      </c>
      <c r="J25" s="6">
        <f>1/$G$2*$C25*(Stress!H23*SCF!H20*$E$4^$E$5)^$E$1</f>
        <v>8.263177622196439</v>
      </c>
    </row>
    <row r="26" spans="2:10" x14ac:dyDescent="0.25">
      <c r="B26">
        <v>380</v>
      </c>
      <c r="C26" s="11">
        <f>'Cyclic Loads'!C24</f>
        <v>2585160</v>
      </c>
      <c r="E26" s="6">
        <f>1/$G$2*$C26*(Stress!C24*SCF!C21*$E$4^$E$5)^$E$1</f>
        <v>21.430080797875817</v>
      </c>
      <c r="F26" s="6">
        <f>1/$G$2*$C26*(Stress!D24*SCF!D21*$E$4^$E$5)^$E$1</f>
        <v>27.597929253335487</v>
      </c>
      <c r="G26" s="6">
        <f>1/$G$2*$C26*(Stress!E24*SCF!E21*$E$4^$E$5)^$E$1</f>
        <v>25.982834904047913</v>
      </c>
      <c r="H26" s="6">
        <f>1/$G$2*$C26*(Stress!F24*SCF!F21*$E$4^$E$5)^$E$1</f>
        <v>13.479370301259271</v>
      </c>
      <c r="I26" s="6">
        <f>1/$G$2*$C26*(Stress!G24*SCF!G21*$E$4^$E$5)^$E$1</f>
        <v>9.4093257837726263</v>
      </c>
      <c r="J26" s="6">
        <f>1/$G$2*$C26*(Stress!H24*SCF!H21*$E$4^$E$5)^$E$1</f>
        <v>12.207185693682153</v>
      </c>
    </row>
    <row r="27" spans="2:10" x14ac:dyDescent="0.25">
      <c r="B27">
        <v>400</v>
      </c>
      <c r="C27" s="11">
        <f>'Cyclic Loads'!C25</f>
        <v>2652040</v>
      </c>
      <c r="E27" s="6">
        <f>1/$G$2*$C27*(Stress!C25*SCF!C22*$E$4^$E$5)^$E$1</f>
        <v>25.641630357762814</v>
      </c>
      <c r="F27" s="6">
        <f>1/$G$2*$C27*(Stress!D25*SCF!D22*$E$4^$E$5)^$E$1</f>
        <v>33.021616074534897</v>
      </c>
      <c r="G27" s="6">
        <f>1/$G$2*$C27*(Stress!E25*SCF!E22*$E$4^$E$5)^$E$1</f>
        <v>31.089115087350148</v>
      </c>
      <c r="H27" s="6">
        <f>1/$G$2*$C27*(Stress!F25*SCF!F22*$E$4^$E$5)^$E$1</f>
        <v>16.128405393345773</v>
      </c>
      <c r="I27" s="6">
        <f>1/$G$2*$C27*(Stress!G25*SCF!G22*$E$4^$E$5)^$E$1</f>
        <v>11.258494820382547</v>
      </c>
      <c r="J27" s="6">
        <f>1/$G$2*$C27*(Stress!H25*SCF!H22*$E$4^$E$5)^$E$1</f>
        <v>14.606204531762392</v>
      </c>
    </row>
    <row r="28" spans="2:10" x14ac:dyDescent="0.25">
      <c r="B28">
        <v>420</v>
      </c>
      <c r="C28" s="11">
        <f>'Cyclic Loads'!C26</f>
        <v>3310320</v>
      </c>
      <c r="E28" s="6">
        <f>1/$G$2*$C28*(Stress!C26*SCF!C23*$E$4^$E$5)^$E$1</f>
        <v>37.051299128431637</v>
      </c>
      <c r="F28" s="6">
        <f>1/$G$2*$C28*(Stress!D26*SCF!D23*$E$4^$E$5)^$E$1</f>
        <v>47.71513190897457</v>
      </c>
      <c r="G28" s="6">
        <f>1/$G$2*$C28*(Stress!E26*SCF!E23*$E$4^$E$5)^$E$1</f>
        <v>44.922732551244394</v>
      </c>
      <c r="H28" s="6">
        <f>1/$G$2*$C28*(Stress!F26*SCF!F23*$E$4^$E$5)^$E$1</f>
        <v>23.305006910863312</v>
      </c>
      <c r="I28" s="6">
        <f>1/$G$2*$C28*(Stress!G26*SCF!G23*$E$4^$E$5)^$E$1</f>
        <v>16.268148846456082</v>
      </c>
      <c r="J28" s="6">
        <f>1/$G$2*$C28*(Stress!H26*SCF!H23*$E$4^$E$5)^$E$1</f>
        <v>21.105477525673187</v>
      </c>
    </row>
    <row r="29" spans="2:10" x14ac:dyDescent="0.25">
      <c r="B29">
        <v>440</v>
      </c>
      <c r="C29" s="11">
        <f>'Cyclic Loads'!C27</f>
        <v>2934640</v>
      </c>
      <c r="E29" s="6">
        <f>1/$G$2*$C29*(Stress!C27*SCF!C24*$E$4^$E$5)^$E$1</f>
        <v>37.765779522383845</v>
      </c>
      <c r="F29" s="6">
        <f>1/$G$2*$C29*(Stress!D27*SCF!D24*$E$4^$E$5)^$E$1</f>
        <v>48.635248802194219</v>
      </c>
      <c r="G29" s="6">
        <f>1/$G$2*$C29*(Stress!E27*SCF!E24*$E$4^$E$5)^$E$1</f>
        <v>45.789002085798806</v>
      </c>
      <c r="H29" s="6">
        <f>1/$G$2*$C29*(Stress!F27*SCF!F24*$E$4^$E$5)^$E$1</f>
        <v>23.754410060291747</v>
      </c>
      <c r="I29" s="6">
        <f>1/$G$2*$C29*(Stress!G27*SCF!G24*$E$4^$E$5)^$E$1</f>
        <v>16.581856426759781</v>
      </c>
      <c r="J29" s="6">
        <f>1/$G$2*$C29*(Stress!H27*SCF!H24*$E$4^$E$5)^$E$1</f>
        <v>21.512465951229395</v>
      </c>
    </row>
    <row r="30" spans="2:10" x14ac:dyDescent="0.25">
      <c r="B30">
        <v>460</v>
      </c>
      <c r="C30" s="11">
        <f>'Cyclic Loads'!C28</f>
        <v>3296160</v>
      </c>
      <c r="E30" s="6">
        <f>1/$G$2*$C30*(Stress!C28*SCF!C25*$E$4^$E$5)^$E$1</f>
        <v>48.469369563900287</v>
      </c>
      <c r="F30" s="6">
        <f>1/$G$2*$C30*(Stress!D28*SCF!D25*$E$4^$E$5)^$E$1</f>
        <v>62.419467513668096</v>
      </c>
      <c r="G30" s="6">
        <f>1/$G$2*$C30*(Stress!E28*SCF!E25*$E$4^$E$5)^$E$1</f>
        <v>58.766536587530567</v>
      </c>
      <c r="H30" s="6">
        <f>1/$G$2*$C30*(Stress!F28*SCF!F25*$E$4^$E$5)^$E$1</f>
        <v>30.486893016528295</v>
      </c>
      <c r="I30" s="6">
        <f>1/$G$2*$C30*(Stress!G28*SCF!G25*$E$4^$E$5)^$E$1</f>
        <v>21.281491799415747</v>
      </c>
      <c r="J30" s="6">
        <f>1/$G$2*$C30*(Stress!H28*SCF!H25*$E$4^$E$5)^$E$1</f>
        <v>27.609536347659684</v>
      </c>
    </row>
    <row r="31" spans="2:10" x14ac:dyDescent="0.25">
      <c r="B31">
        <v>480</v>
      </c>
      <c r="C31" s="11">
        <f>'Cyclic Loads'!C29</f>
        <v>5479200</v>
      </c>
      <c r="E31" s="6">
        <f>1/$G$2*$C31*(Stress!C29*SCF!C26*$E$4^$E$5)^$E$1</f>
        <v>91.543277320555816</v>
      </c>
      <c r="F31" s="6">
        <f>1/$G$2*$C31*(Stress!D29*SCF!D26*$E$4^$E$5)^$E$1</f>
        <v>117.89059103135024</v>
      </c>
      <c r="G31" s="6">
        <f>1/$G$2*$C31*(Stress!E29*SCF!E26*$E$4^$E$5)^$E$1</f>
        <v>110.99136226454368</v>
      </c>
      <c r="H31" s="6">
        <f>1/$G$2*$C31*(Stress!F29*SCF!F26*$E$4^$E$5)^$E$1</f>
        <v>57.580078452945052</v>
      </c>
      <c r="I31" s="6">
        <f>1/$G$2*$C31*(Stress!G29*SCF!G26*$E$4^$E$5)^$E$1</f>
        <v>40.193993095384549</v>
      </c>
      <c r="J31" s="6">
        <f>1/$G$2*$C31*(Stress!H29*SCF!H26*$E$4^$E$5)^$E$1</f>
        <v>52.145663649155885</v>
      </c>
    </row>
    <row r="32" spans="2:10" x14ac:dyDescent="0.25">
      <c r="B32">
        <v>500</v>
      </c>
      <c r="C32" s="11">
        <f>'Cyclic Loads'!C30</f>
        <v>12912880</v>
      </c>
      <c r="E32" s="6">
        <f>1/$G$2*$C32*(Stress!C30*SCF!C27*$E$4^$E$5)^$E$1</f>
        <v>243.84773123218673</v>
      </c>
      <c r="F32" s="6">
        <f>1/$G$2*$C32*(Stress!D30*SCF!D27*$E$4^$E$5)^$E$1</f>
        <v>314.03019422116745</v>
      </c>
      <c r="G32" s="6">
        <f>1/$G$2*$C32*(Stress!E30*SCF!E27*$E$4^$E$5)^$E$1</f>
        <v>295.65242436979406</v>
      </c>
      <c r="H32" s="6">
        <f>1/$G$2*$C32*(Stress!F30*SCF!F27*$E$4^$E$5)^$E$1</f>
        <v>153.37851020731534</v>
      </c>
      <c r="I32" s="6">
        <f>1/$G$2*$C32*(Stress!G30*SCF!G27*$E$4^$E$5)^$E$1</f>
        <v>107.06645329236933</v>
      </c>
      <c r="J32" s="6">
        <f>1/$G$2*$C32*(Stress!H30*SCF!H27*$E$4^$E$5)^$E$1</f>
        <v>138.90262776934807</v>
      </c>
    </row>
    <row r="33" spans="2:10" x14ac:dyDescent="0.25">
      <c r="B33">
        <v>520</v>
      </c>
      <c r="C33" s="11">
        <f>'Cyclic Loads'!C31</f>
        <v>12922200</v>
      </c>
      <c r="E33" s="6">
        <f>1/$G$2*$C33*(Stress!C31*SCF!C28*$E$4^$E$5)^$E$1</f>
        <v>274.49350988392115</v>
      </c>
      <c r="F33" s="6">
        <f>1/$G$2*$C33*(Stress!D31*SCF!D28*$E$4^$E$5)^$E$1</f>
        <v>353.49621579714687</v>
      </c>
      <c r="G33" s="6">
        <f>1/$G$2*$C33*(Stress!E31*SCF!E28*$E$4^$E$5)^$E$1</f>
        <v>332.80880351386804</v>
      </c>
      <c r="H33" s="6">
        <f>1/$G$2*$C33*(Stress!F31*SCF!F28*$E$4^$E$5)^$E$1</f>
        <v>172.65448972943184</v>
      </c>
      <c r="I33" s="6">
        <f>1/$G$2*$C33*(Stress!G31*SCF!G28*$E$4^$E$5)^$E$1</f>
        <v>120.5221242229305</v>
      </c>
      <c r="J33" s="6">
        <f>1/$G$2*$C33*(Stress!H31*SCF!H28*$E$4^$E$5)^$E$1</f>
        <v>156.35933800099056</v>
      </c>
    </row>
    <row r="34" spans="2:10" x14ac:dyDescent="0.25">
      <c r="B34">
        <v>540</v>
      </c>
      <c r="C34" s="11">
        <f>'Cyclic Loads'!C32</f>
        <v>2733960</v>
      </c>
      <c r="E34" s="6">
        <f>1/$G$2*$C34*(Stress!C32*SCF!C29*$E$4^$E$5)^$E$1</f>
        <v>65.036779369789485</v>
      </c>
      <c r="F34" s="6">
        <f>1/$G$2*$C34*(Stress!D32*SCF!D29*$E$4^$E$5)^$E$1</f>
        <v>83.755187525478206</v>
      </c>
      <c r="G34" s="6">
        <f>1/$G$2*$C34*(Stress!E32*SCF!E29*$E$4^$E$5)^$E$1</f>
        <v>78.853641150234452</v>
      </c>
      <c r="H34" s="6">
        <f>1/$G$2*$C34*(Stress!F32*SCF!F29*$E$4^$E$5)^$E$1</f>
        <v>40.907677418257201</v>
      </c>
      <c r="I34" s="6">
        <f>1/$G$2*$C34*(Stress!G32*SCF!G29*$E$4^$E$5)^$E$1</f>
        <v>28.555760045400728</v>
      </c>
      <c r="J34" s="6">
        <f>1/$G$2*$C34*(Stress!H32*SCF!H29*$E$4^$E$5)^$E$1</f>
        <v>37.046805850809044</v>
      </c>
    </row>
    <row r="35" spans="2:10" x14ac:dyDescent="0.25">
      <c r="B35">
        <v>560</v>
      </c>
      <c r="C35" s="11">
        <f>'Cyclic Loads'!C33</f>
        <v>500400</v>
      </c>
      <c r="E35" s="6">
        <f>1/$G$2*$C35*(Stress!C33*SCF!C30*$E$4^$E$5)^$E$1</f>
        <v>13.275991728756448</v>
      </c>
      <c r="F35" s="6">
        <f>1/$G$2*$C35*(Stress!D33*SCF!D30*$E$4^$E$5)^$E$1</f>
        <v>17.096990158544084</v>
      </c>
      <c r="G35" s="6">
        <f>1/$G$2*$C35*(Stress!E33*SCF!E30*$E$4^$E$5)^$E$1</f>
        <v>16.096434937845697</v>
      </c>
      <c r="H35" s="6">
        <f>1/$G$2*$C35*(Stress!F33*SCF!F30*$E$4^$E$5)^$E$1</f>
        <v>8.3505055494751748</v>
      </c>
      <c r="I35" s="6">
        <f>1/$G$2*$C35*(Stress!G33*SCF!G30*$E$4^$E$5)^$E$1</f>
        <v>5.8291022071611689</v>
      </c>
      <c r="J35" s="6">
        <f>1/$G$2*$C35*(Stress!H33*SCF!H30*$E$4^$E$5)^$E$1</f>
        <v>7.5623838206331966</v>
      </c>
    </row>
    <row r="36" spans="2:10" x14ac:dyDescent="0.25">
      <c r="B36">
        <v>580</v>
      </c>
      <c r="C36" s="11">
        <f>'Cyclic Loads'!C34</f>
        <v>90720</v>
      </c>
      <c r="E36" s="6">
        <f>1/$G$2*$C36*(Stress!C34*SCF!C31*$E$4^$E$5)^$E$1</f>
        <v>2.6740690247887331</v>
      </c>
      <c r="F36" s="6">
        <f>1/$G$2*$C36*(Stress!D34*SCF!D31*$E$4^$E$5)^$E$1</f>
        <v>3.443699930985344</v>
      </c>
      <c r="G36" s="6">
        <f>1/$G$2*$C36*(Stress!E34*SCF!E31*$E$4^$E$5)^$E$1</f>
        <v>3.242166683757953</v>
      </c>
      <c r="H36" s="6">
        <f>1/$G$2*$C36*(Stress!F34*SCF!F31*$E$4^$E$5)^$E$1</f>
        <v>1.6819706344657079</v>
      </c>
      <c r="I36" s="6">
        <f>1/$G$2*$C36*(Stress!G34*SCF!G31*$E$4^$E$5)^$E$1</f>
        <v>1.1741060082716237</v>
      </c>
      <c r="J36" s="6">
        <f>1/$G$2*$C36*(Stress!H34*SCF!H31*$E$4^$E$5)^$E$1</f>
        <v>1.5232260415254801</v>
      </c>
    </row>
    <row r="37" spans="2:10" x14ac:dyDescent="0.25">
      <c r="B37">
        <v>600</v>
      </c>
      <c r="C37" s="11">
        <f>'Cyclic Loads'!C35</f>
        <v>19160</v>
      </c>
      <c r="E37" s="6">
        <f>1/$G$2*$C37*(Stress!C35*SCF!C32*$E$4^$E$5)^$E$1</f>
        <v>0.62522285753032836</v>
      </c>
      <c r="F37" s="6">
        <f>1/$G$2*$C37*(Stress!D35*SCF!D32*$E$4^$E$5)^$E$1</f>
        <v>0.80516990824414358</v>
      </c>
      <c r="G37" s="6">
        <f>1/$G$2*$C37*(Stress!E35*SCF!E32*$E$4^$E$5)^$E$1</f>
        <v>0.75804951174322333</v>
      </c>
      <c r="H37" s="6">
        <f>1/$G$2*$C37*(Stress!F35*SCF!F32*$E$4^$E$5)^$E$1</f>
        <v>0.39326078594617903</v>
      </c>
      <c r="I37" s="6">
        <f>1/$G$2*$C37*(Stress!G35*SCF!G32*$E$4^$E$5)^$E$1</f>
        <v>0.27451718962008032</v>
      </c>
      <c r="J37" s="6">
        <f>1/$G$2*$C37*(Stress!H35*SCF!H32*$E$4^$E$5)^$E$1</f>
        <v>0.35614478516403036</v>
      </c>
    </row>
    <row r="38" spans="2:10" x14ac:dyDescent="0.25">
      <c r="B38">
        <v>620</v>
      </c>
      <c r="C38" s="11">
        <f>'Cyclic Loads'!C36</f>
        <v>200</v>
      </c>
      <c r="E38" s="6">
        <f>1/$G$2*$C38*(Stress!C36*SCF!C33*$E$4^$E$5)^$E$1</f>
        <v>7.2009642575914358E-3</v>
      </c>
      <c r="F38" s="6">
        <f>1/$G$2*$C38*(Stress!D36*SCF!D33*$E$4^$E$5)^$E$1</f>
        <v>9.2734929005262815E-3</v>
      </c>
      <c r="G38" s="6">
        <f>1/$G$2*$C38*(Stress!E36*SCF!E33*$E$4^$E$5)^$E$1</f>
        <v>8.7307867487599021E-3</v>
      </c>
      <c r="H38" s="6">
        <f>1/$G$2*$C38*(Stress!F36*SCF!F33*$E$4^$E$5)^$E$1</f>
        <v>4.5293559398912149E-3</v>
      </c>
      <c r="I38" s="6">
        <f>1/$G$2*$C38*(Stress!G36*SCF!G33*$E$4^$E$5)^$E$1</f>
        <v>3.161734166849073E-3</v>
      </c>
      <c r="J38" s="6">
        <f>1/$G$2*$C38*(Stress!H36*SCF!H33*$E$4^$E$5)^$E$1</f>
        <v>4.1018747756984561E-3</v>
      </c>
    </row>
    <row r="39" spans="2:10" x14ac:dyDescent="0.25">
      <c r="B39">
        <v>640</v>
      </c>
      <c r="C39" s="11">
        <f>'Cyclic Loads'!C37</f>
        <v>0</v>
      </c>
      <c r="E39" s="6">
        <f>1/$G$2*$C39*(Stress!C37*SCF!C34*$E$4^$E$5)^$E$1</f>
        <v>0</v>
      </c>
      <c r="F39" s="6">
        <f>1/$G$2*$C39*(Stress!D37*SCF!D34*$E$4^$E$5)^$E$1</f>
        <v>0</v>
      </c>
      <c r="G39" s="6">
        <f>1/$G$2*$C39*(Stress!E37*SCF!E34*$E$4^$E$5)^$E$1</f>
        <v>0</v>
      </c>
      <c r="H39" s="6">
        <f>1/$G$2*$C39*(Stress!F37*SCF!F34*$E$4^$E$5)^$E$1</f>
        <v>0</v>
      </c>
      <c r="I39" s="6">
        <f>1/$G$2*$C39*(Stress!G37*SCF!G34*$E$4^$E$5)^$E$1</f>
        <v>0</v>
      </c>
      <c r="J39" s="6">
        <f>1/$G$2*$C39*(Stress!H37*SCF!H34*$E$4^$E$5)^$E$1</f>
        <v>0</v>
      </c>
    </row>
    <row r="41" spans="2:10" x14ac:dyDescent="0.25">
      <c r="C41" s="11">
        <f>SUM(C8:C39)</f>
        <v>204358840</v>
      </c>
      <c r="E41">
        <f>SUM(E8:E39)</f>
        <v>936.51985915128523</v>
      </c>
      <c r="F41">
        <f>SUM(F8:F39)</f>
        <v>1206.0621264555748</v>
      </c>
      <c r="G41">
        <f t="shared" ref="G41:J41" si="0">SUM(G8:G39)</f>
        <v>1135.4805945062988</v>
      </c>
      <c r="H41">
        <f t="shared" si="0"/>
        <v>589.06441347783573</v>
      </c>
      <c r="I41">
        <f t="shared" si="0"/>
        <v>411.19865766445264</v>
      </c>
      <c r="J41">
        <f t="shared" si="0"/>
        <v>533.46844252747633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Static Loads</vt:lpstr>
      <vt:lpstr>Cyclic Loads</vt:lpstr>
      <vt:lpstr>Load-Disp</vt:lpstr>
      <vt:lpstr>Stress</vt:lpstr>
      <vt:lpstr>SCF</vt:lpstr>
      <vt:lpstr>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Jose</dc:creator>
  <cp:lastModifiedBy>Ryan Williams</cp:lastModifiedBy>
  <dcterms:created xsi:type="dcterms:W3CDTF">2015-06-05T18:17:20Z</dcterms:created>
  <dcterms:modified xsi:type="dcterms:W3CDTF">2024-10-02T18:44:14Z</dcterms:modified>
</cp:coreProperties>
</file>