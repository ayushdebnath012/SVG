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P:\2022\1600 JOBS\2022_1633\RSW\"/>
    </mc:Choice>
  </mc:AlternateContent>
  <xr:revisionPtr revIDLastSave="0" documentId="13_ncr:9_{3DA1E7B5-6D01-4991-90A2-82B8690B155C}" xr6:coauthVersionLast="47" xr6:coauthVersionMax="47" xr10:uidLastSave="{00000000-0000-0000-0000-000000000000}"/>
  <bookViews>
    <workbookView xWindow="28680" yWindow="-120" windowWidth="29040" windowHeight="15840" xr2:uid="{5B3BEBE5-624F-48AA-A15A-A100CABD967F}"/>
  </bookViews>
  <sheets>
    <sheet name="full_table" sheetId="1" r:id="rId1"/>
  </sheets>
  <calcPr calcId="0"/>
</workbook>
</file>

<file path=xl/calcChain.xml><?xml version="1.0" encoding="utf-8"?>
<calcChain xmlns="http://schemas.openxmlformats.org/spreadsheetml/2006/main">
  <c r="J3" i="1" l="1"/>
  <c r="K3" i="1" s="1"/>
  <c r="L3" i="1" s="1"/>
  <c r="O3" i="1" s="1"/>
  <c r="M3" i="1"/>
  <c r="P3" i="1"/>
  <c r="R3" i="1"/>
  <c r="T3" i="1"/>
  <c r="J4" i="1"/>
  <c r="K4" i="1" s="1"/>
  <c r="L4" i="1" s="1"/>
  <c r="O4" i="1" s="1"/>
  <c r="M4" i="1"/>
  <c r="P4" i="1"/>
  <c r="R4" i="1"/>
  <c r="T4" i="1"/>
  <c r="J5" i="1"/>
  <c r="K5" i="1" s="1"/>
  <c r="L5" i="1" s="1"/>
  <c r="O5" i="1" s="1"/>
  <c r="M5" i="1"/>
  <c r="P5" i="1"/>
  <c r="R5" i="1"/>
  <c r="T5" i="1"/>
  <c r="J6" i="1"/>
  <c r="K6" i="1" s="1"/>
  <c r="L6" i="1" s="1"/>
  <c r="O6" i="1" s="1"/>
  <c r="M6" i="1"/>
  <c r="P6" i="1"/>
  <c r="R6" i="1"/>
  <c r="T6" i="1"/>
  <c r="J7" i="1"/>
  <c r="K7" i="1" s="1"/>
  <c r="L7" i="1" s="1"/>
  <c r="O7" i="1" s="1"/>
  <c r="M7" i="1"/>
  <c r="P7" i="1"/>
  <c r="R7" i="1"/>
  <c r="T7" i="1"/>
  <c r="J8" i="1"/>
  <c r="K8" i="1" s="1"/>
  <c r="L8" i="1" s="1"/>
  <c r="O8" i="1" s="1"/>
  <c r="M8" i="1"/>
  <c r="P8" i="1"/>
  <c r="R8" i="1"/>
  <c r="T8" i="1"/>
  <c r="J9" i="1"/>
  <c r="K9" i="1" s="1"/>
  <c r="L9" i="1" s="1"/>
  <c r="O9" i="1" s="1"/>
  <c r="M9" i="1"/>
  <c r="P9" i="1"/>
  <c r="R9" i="1"/>
  <c r="T9" i="1"/>
  <c r="J10" i="1"/>
  <c r="K10" i="1" s="1"/>
  <c r="L10" i="1" s="1"/>
  <c r="O10" i="1" s="1"/>
  <c r="M10" i="1"/>
  <c r="P10" i="1"/>
  <c r="R10" i="1"/>
  <c r="T10" i="1"/>
  <c r="J11" i="1"/>
  <c r="K11" i="1" s="1"/>
  <c r="L11" i="1" s="1"/>
  <c r="O11" i="1" s="1"/>
  <c r="M11" i="1"/>
  <c r="P11" i="1"/>
  <c r="R11" i="1"/>
  <c r="T11" i="1"/>
  <c r="J12" i="1"/>
  <c r="K12" i="1" s="1"/>
  <c r="L12" i="1" s="1"/>
  <c r="O12" i="1" s="1"/>
  <c r="M12" i="1"/>
  <c r="P12" i="1"/>
  <c r="R12" i="1"/>
  <c r="T12" i="1"/>
  <c r="J13" i="1"/>
  <c r="K13" i="1" s="1"/>
  <c r="L13" i="1" s="1"/>
  <c r="O13" i="1" s="1"/>
  <c r="M13" i="1"/>
  <c r="P13" i="1"/>
  <c r="R13" i="1"/>
  <c r="T13" i="1"/>
  <c r="J14" i="1"/>
  <c r="K14" i="1" s="1"/>
  <c r="L14" i="1" s="1"/>
  <c r="O14" i="1" s="1"/>
  <c r="M14" i="1"/>
  <c r="P14" i="1"/>
  <c r="R14" i="1"/>
  <c r="T14" i="1"/>
  <c r="J15" i="1"/>
  <c r="K15" i="1" s="1"/>
  <c r="L15" i="1" s="1"/>
  <c r="O15" i="1" s="1"/>
  <c r="M15" i="1"/>
  <c r="P15" i="1"/>
  <c r="R15" i="1"/>
  <c r="T15" i="1"/>
  <c r="J16" i="1"/>
  <c r="K16" i="1" s="1"/>
  <c r="L16" i="1" s="1"/>
  <c r="O16" i="1" s="1"/>
  <c r="M16" i="1"/>
  <c r="P16" i="1"/>
  <c r="R16" i="1"/>
  <c r="T16" i="1"/>
  <c r="J17" i="1"/>
  <c r="K17" i="1" s="1"/>
  <c r="L17" i="1" s="1"/>
  <c r="O17" i="1" s="1"/>
  <c r="M17" i="1"/>
  <c r="P17" i="1"/>
  <c r="R17" i="1"/>
  <c r="T17" i="1"/>
  <c r="J18" i="1"/>
  <c r="K18" i="1" s="1"/>
  <c r="L18" i="1" s="1"/>
  <c r="O18" i="1" s="1"/>
  <c r="M18" i="1"/>
  <c r="P18" i="1"/>
  <c r="R18" i="1"/>
  <c r="T18" i="1"/>
  <c r="J19" i="1"/>
  <c r="K19" i="1" s="1"/>
  <c r="L19" i="1" s="1"/>
  <c r="O19" i="1" s="1"/>
  <c r="M19" i="1"/>
  <c r="P19" i="1"/>
  <c r="R19" i="1"/>
  <c r="T19" i="1"/>
  <c r="J20" i="1"/>
  <c r="K20" i="1" s="1"/>
  <c r="L20" i="1" s="1"/>
  <c r="O20" i="1" s="1"/>
  <c r="M20" i="1"/>
  <c r="P20" i="1"/>
  <c r="R20" i="1"/>
  <c r="T20" i="1"/>
  <c r="J21" i="1"/>
  <c r="K21" i="1" s="1"/>
  <c r="L21" i="1" s="1"/>
  <c r="O21" i="1" s="1"/>
  <c r="M21" i="1"/>
  <c r="P21" i="1"/>
  <c r="R21" i="1"/>
  <c r="T21" i="1"/>
  <c r="J22" i="1"/>
  <c r="K22" i="1" s="1"/>
  <c r="L22" i="1" s="1"/>
  <c r="O22" i="1" s="1"/>
  <c r="M22" i="1"/>
  <c r="P22" i="1"/>
  <c r="R22" i="1"/>
  <c r="T22" i="1"/>
  <c r="J23" i="1"/>
  <c r="K23" i="1" s="1"/>
  <c r="L23" i="1" s="1"/>
  <c r="O23" i="1" s="1"/>
  <c r="M23" i="1"/>
  <c r="P23" i="1"/>
  <c r="R23" i="1"/>
  <c r="T23" i="1"/>
  <c r="J24" i="1"/>
  <c r="K24" i="1" s="1"/>
  <c r="L24" i="1" s="1"/>
  <c r="O24" i="1" s="1"/>
  <c r="M24" i="1"/>
  <c r="P24" i="1"/>
  <c r="R24" i="1"/>
  <c r="T24" i="1"/>
  <c r="J25" i="1"/>
  <c r="K25" i="1" s="1"/>
  <c r="L25" i="1" s="1"/>
  <c r="O25" i="1" s="1"/>
  <c r="M25" i="1"/>
  <c r="N25" i="1"/>
  <c r="S25" i="1" s="1"/>
  <c r="P25" i="1"/>
  <c r="R25" i="1"/>
  <c r="T25" i="1"/>
  <c r="J26" i="1"/>
  <c r="K26" i="1" s="1"/>
  <c r="L26" i="1" s="1"/>
  <c r="O26" i="1" s="1"/>
  <c r="M26" i="1"/>
  <c r="N26" i="1"/>
  <c r="S26" i="1" s="1"/>
  <c r="P26" i="1"/>
  <c r="R26" i="1"/>
  <c r="T26" i="1"/>
  <c r="J27" i="1"/>
  <c r="K27" i="1" s="1"/>
  <c r="L27" i="1" s="1"/>
  <c r="O27" i="1" s="1"/>
  <c r="M27" i="1"/>
  <c r="N27" i="1"/>
  <c r="S27" i="1" s="1"/>
  <c r="P27" i="1"/>
  <c r="Q27" i="1"/>
  <c r="R27" i="1"/>
  <c r="T27" i="1"/>
  <c r="J28" i="1"/>
  <c r="K28" i="1" s="1"/>
  <c r="L28" i="1" s="1"/>
  <c r="O28" i="1" s="1"/>
  <c r="M28" i="1"/>
  <c r="N28" i="1"/>
  <c r="S28" i="1" s="1"/>
  <c r="P28" i="1"/>
  <c r="R28" i="1"/>
  <c r="T28" i="1"/>
  <c r="J29" i="1"/>
  <c r="K29" i="1" s="1"/>
  <c r="L29" i="1" s="1"/>
  <c r="O29" i="1" s="1"/>
  <c r="M29" i="1"/>
  <c r="N29" i="1"/>
  <c r="S29" i="1" s="1"/>
  <c r="P29" i="1"/>
  <c r="R29" i="1"/>
  <c r="T29" i="1"/>
  <c r="J30" i="1"/>
  <c r="K30" i="1" s="1"/>
  <c r="L30" i="1" s="1"/>
  <c r="O30" i="1" s="1"/>
  <c r="M30" i="1"/>
  <c r="P30" i="1"/>
  <c r="R30" i="1"/>
  <c r="T30" i="1"/>
  <c r="J31" i="1"/>
  <c r="K31" i="1" s="1"/>
  <c r="L31" i="1" s="1"/>
  <c r="O31" i="1" s="1"/>
  <c r="M31" i="1"/>
  <c r="P31" i="1"/>
  <c r="R31" i="1"/>
  <c r="T31" i="1"/>
  <c r="J32" i="1"/>
  <c r="K32" i="1" s="1"/>
  <c r="L32" i="1" s="1"/>
  <c r="O32" i="1" s="1"/>
  <c r="M32" i="1"/>
  <c r="P32" i="1"/>
  <c r="R32" i="1"/>
  <c r="T32" i="1"/>
  <c r="J33" i="1"/>
  <c r="K33" i="1" s="1"/>
  <c r="L33" i="1" s="1"/>
  <c r="O33" i="1" s="1"/>
  <c r="M33" i="1"/>
  <c r="P33" i="1"/>
  <c r="R33" i="1"/>
  <c r="T33" i="1"/>
  <c r="J34" i="1"/>
  <c r="K34" i="1" s="1"/>
  <c r="L34" i="1" s="1"/>
  <c r="O34" i="1" s="1"/>
  <c r="M34" i="1"/>
  <c r="N34" i="1" s="1"/>
  <c r="S34" i="1" s="1"/>
  <c r="P34" i="1"/>
  <c r="R34" i="1"/>
  <c r="T34" i="1"/>
  <c r="J35" i="1"/>
  <c r="K35" i="1" s="1"/>
  <c r="L35" i="1" s="1"/>
  <c r="O35" i="1" s="1"/>
  <c r="M35" i="1"/>
  <c r="P35" i="1"/>
  <c r="R35" i="1"/>
  <c r="T35" i="1"/>
  <c r="J36" i="1"/>
  <c r="K36" i="1" s="1"/>
  <c r="L36" i="1" s="1"/>
  <c r="O36" i="1" s="1"/>
  <c r="M36" i="1"/>
  <c r="N36" i="1" s="1"/>
  <c r="S36" i="1" s="1"/>
  <c r="P36" i="1"/>
  <c r="R36" i="1"/>
  <c r="T36" i="1"/>
  <c r="J37" i="1"/>
  <c r="N37" i="1" s="1"/>
  <c r="M37" i="1"/>
  <c r="P37" i="1"/>
  <c r="R37" i="1"/>
  <c r="T37" i="1"/>
  <c r="J38" i="1"/>
  <c r="K38" i="1" s="1"/>
  <c r="L38" i="1" s="1"/>
  <c r="O38" i="1" s="1"/>
  <c r="M38" i="1"/>
  <c r="N38" i="1" s="1"/>
  <c r="S38" i="1" s="1"/>
  <c r="P38" i="1"/>
  <c r="R38" i="1"/>
  <c r="T38" i="1"/>
  <c r="J39" i="1"/>
  <c r="K39" i="1" s="1"/>
  <c r="L39" i="1" s="1"/>
  <c r="O39" i="1" s="1"/>
  <c r="M39" i="1"/>
  <c r="P39" i="1"/>
  <c r="R39" i="1"/>
  <c r="T39" i="1"/>
  <c r="J40" i="1"/>
  <c r="K40" i="1" s="1"/>
  <c r="L40" i="1" s="1"/>
  <c r="O40" i="1" s="1"/>
  <c r="M40" i="1"/>
  <c r="N40" i="1" s="1"/>
  <c r="S40" i="1" s="1"/>
  <c r="P40" i="1"/>
  <c r="R40" i="1"/>
  <c r="T40" i="1"/>
  <c r="J41" i="1"/>
  <c r="N41" i="1" s="1"/>
  <c r="M41" i="1"/>
  <c r="P41" i="1"/>
  <c r="R41" i="1"/>
  <c r="T41" i="1"/>
  <c r="J42" i="1"/>
  <c r="K42" i="1" s="1"/>
  <c r="L42" i="1" s="1"/>
  <c r="O42" i="1" s="1"/>
  <c r="M42" i="1"/>
  <c r="N42" i="1" s="1"/>
  <c r="S42" i="1" s="1"/>
  <c r="P42" i="1"/>
  <c r="R42" i="1"/>
  <c r="T42" i="1"/>
  <c r="J43" i="1"/>
  <c r="K43" i="1" s="1"/>
  <c r="L43" i="1" s="1"/>
  <c r="O43" i="1" s="1"/>
  <c r="M43" i="1"/>
  <c r="P43" i="1"/>
  <c r="R43" i="1"/>
  <c r="T43" i="1"/>
  <c r="J44" i="1"/>
  <c r="K44" i="1" s="1"/>
  <c r="L44" i="1" s="1"/>
  <c r="O44" i="1" s="1"/>
  <c r="M44" i="1"/>
  <c r="N44" i="1" s="1"/>
  <c r="S44" i="1" s="1"/>
  <c r="P44" i="1"/>
  <c r="R44" i="1"/>
  <c r="T44" i="1"/>
  <c r="J45" i="1"/>
  <c r="N45" i="1" s="1"/>
  <c r="M45" i="1"/>
  <c r="P45" i="1"/>
  <c r="R45" i="1"/>
  <c r="T45" i="1"/>
  <c r="J46" i="1"/>
  <c r="K46" i="1" s="1"/>
  <c r="L46" i="1" s="1"/>
  <c r="O46" i="1" s="1"/>
  <c r="M46" i="1"/>
  <c r="N46" i="1" s="1"/>
  <c r="S46" i="1" s="1"/>
  <c r="P46" i="1"/>
  <c r="R46" i="1"/>
  <c r="T46" i="1"/>
  <c r="J47" i="1"/>
  <c r="K47" i="1" s="1"/>
  <c r="L47" i="1" s="1"/>
  <c r="O47" i="1" s="1"/>
  <c r="M47" i="1"/>
  <c r="P47" i="1"/>
  <c r="R47" i="1"/>
  <c r="T47" i="1"/>
  <c r="J48" i="1"/>
  <c r="K48" i="1" s="1"/>
  <c r="L48" i="1" s="1"/>
  <c r="O48" i="1" s="1"/>
  <c r="M48" i="1"/>
  <c r="N48" i="1" s="1"/>
  <c r="S48" i="1" s="1"/>
  <c r="P48" i="1"/>
  <c r="R48" i="1"/>
  <c r="T48" i="1"/>
  <c r="J49" i="1"/>
  <c r="N49" i="1" s="1"/>
  <c r="M49" i="1"/>
  <c r="P49" i="1"/>
  <c r="R49" i="1"/>
  <c r="T49" i="1"/>
  <c r="J50" i="1"/>
  <c r="K50" i="1" s="1"/>
  <c r="L50" i="1" s="1"/>
  <c r="O50" i="1" s="1"/>
  <c r="M50" i="1"/>
  <c r="N50" i="1" s="1"/>
  <c r="S50" i="1" s="1"/>
  <c r="P50" i="1"/>
  <c r="R50" i="1"/>
  <c r="T50" i="1"/>
  <c r="J51" i="1"/>
  <c r="K51" i="1" s="1"/>
  <c r="L51" i="1" s="1"/>
  <c r="O51" i="1" s="1"/>
  <c r="M51" i="1"/>
  <c r="N51" i="1"/>
  <c r="P51" i="1"/>
  <c r="R51" i="1"/>
  <c r="T51" i="1"/>
  <c r="J52" i="1"/>
  <c r="K52" i="1"/>
  <c r="L52" i="1" s="1"/>
  <c r="O52" i="1" s="1"/>
  <c r="M52" i="1"/>
  <c r="N52" i="1" s="1"/>
  <c r="S52" i="1" s="1"/>
  <c r="P52" i="1"/>
  <c r="R52" i="1"/>
  <c r="T52" i="1"/>
  <c r="J53" i="1"/>
  <c r="K53" i="1" s="1"/>
  <c r="L53" i="1" s="1"/>
  <c r="O53" i="1" s="1"/>
  <c r="M53" i="1"/>
  <c r="P53" i="1"/>
  <c r="R53" i="1"/>
  <c r="T53" i="1"/>
  <c r="J54" i="1"/>
  <c r="K54" i="1"/>
  <c r="L54" i="1" s="1"/>
  <c r="O54" i="1" s="1"/>
  <c r="M54" i="1"/>
  <c r="N54" i="1" s="1"/>
  <c r="S54" i="1" s="1"/>
  <c r="P54" i="1"/>
  <c r="R54" i="1"/>
  <c r="T54" i="1"/>
  <c r="J55" i="1"/>
  <c r="N55" i="1" s="1"/>
  <c r="M55" i="1"/>
  <c r="P55" i="1"/>
  <c r="R55" i="1"/>
  <c r="T55" i="1"/>
  <c r="J56" i="1"/>
  <c r="K56" i="1"/>
  <c r="L56" i="1" s="1"/>
  <c r="O56" i="1" s="1"/>
  <c r="M56" i="1"/>
  <c r="N56" i="1" s="1"/>
  <c r="S56" i="1" s="1"/>
  <c r="P56" i="1"/>
  <c r="R56" i="1"/>
  <c r="T56" i="1"/>
  <c r="J57" i="1"/>
  <c r="K57" i="1" s="1"/>
  <c r="L57" i="1" s="1"/>
  <c r="O57" i="1" s="1"/>
  <c r="M57" i="1"/>
  <c r="N57" i="1"/>
  <c r="Q57" i="1" s="1"/>
  <c r="P57" i="1"/>
  <c r="R57" i="1"/>
  <c r="T57" i="1"/>
  <c r="J58" i="1"/>
  <c r="K58" i="1" s="1"/>
  <c r="L58" i="1" s="1"/>
  <c r="O58" i="1" s="1"/>
  <c r="M58" i="1"/>
  <c r="N58" i="1" s="1"/>
  <c r="S58" i="1" s="1"/>
  <c r="P58" i="1"/>
  <c r="R58" i="1"/>
  <c r="T58" i="1"/>
  <c r="J59" i="1"/>
  <c r="K59" i="1" s="1"/>
  <c r="L59" i="1" s="1"/>
  <c r="O59" i="1" s="1"/>
  <c r="M59" i="1"/>
  <c r="N59" i="1"/>
  <c r="P59" i="1"/>
  <c r="R59" i="1"/>
  <c r="T59" i="1"/>
  <c r="J60" i="1"/>
  <c r="K60" i="1"/>
  <c r="L60" i="1" s="1"/>
  <c r="O60" i="1" s="1"/>
  <c r="M60" i="1"/>
  <c r="N60" i="1" s="1"/>
  <c r="S60" i="1" s="1"/>
  <c r="P60" i="1"/>
  <c r="R60" i="1"/>
  <c r="T60" i="1"/>
  <c r="J61" i="1"/>
  <c r="K61" i="1" s="1"/>
  <c r="L61" i="1" s="1"/>
  <c r="O61" i="1" s="1"/>
  <c r="M61" i="1"/>
  <c r="P61" i="1"/>
  <c r="R61" i="1"/>
  <c r="T61" i="1"/>
  <c r="J62" i="1"/>
  <c r="K62" i="1"/>
  <c r="L62" i="1" s="1"/>
  <c r="O62" i="1" s="1"/>
  <c r="M62" i="1"/>
  <c r="N62" i="1" s="1"/>
  <c r="S62" i="1" s="1"/>
  <c r="P62" i="1"/>
  <c r="R62" i="1"/>
  <c r="T62" i="1"/>
  <c r="J63" i="1"/>
  <c r="N63" i="1" s="1"/>
  <c r="M63" i="1"/>
  <c r="P63" i="1"/>
  <c r="R63" i="1"/>
  <c r="T63" i="1"/>
  <c r="J64" i="1"/>
  <c r="K64" i="1"/>
  <c r="L64" i="1" s="1"/>
  <c r="O64" i="1" s="1"/>
  <c r="M64" i="1"/>
  <c r="N64" i="1" s="1"/>
  <c r="S64" i="1" s="1"/>
  <c r="P64" i="1"/>
  <c r="R64" i="1"/>
  <c r="T64" i="1"/>
  <c r="J65" i="1"/>
  <c r="K65" i="1" s="1"/>
  <c r="L65" i="1" s="1"/>
  <c r="O65" i="1" s="1"/>
  <c r="M65" i="1"/>
  <c r="N65" i="1"/>
  <c r="Q65" i="1" s="1"/>
  <c r="P65" i="1"/>
  <c r="R65" i="1"/>
  <c r="T65" i="1"/>
  <c r="J66" i="1"/>
  <c r="K66" i="1" s="1"/>
  <c r="L66" i="1" s="1"/>
  <c r="O66" i="1" s="1"/>
  <c r="M66" i="1"/>
  <c r="N66" i="1" s="1"/>
  <c r="S66" i="1" s="1"/>
  <c r="P66" i="1"/>
  <c r="R66" i="1"/>
  <c r="T66" i="1"/>
  <c r="J67" i="1"/>
  <c r="K67" i="1" s="1"/>
  <c r="L67" i="1" s="1"/>
  <c r="O67" i="1" s="1"/>
  <c r="M67" i="1"/>
  <c r="N67" i="1"/>
  <c r="Q67" i="1" s="1"/>
  <c r="P67" i="1"/>
  <c r="R67" i="1"/>
  <c r="T67" i="1"/>
  <c r="J68" i="1"/>
  <c r="K68" i="1"/>
  <c r="L68" i="1" s="1"/>
  <c r="O68" i="1" s="1"/>
  <c r="M68" i="1"/>
  <c r="N68" i="1" s="1"/>
  <c r="S68" i="1" s="1"/>
  <c r="P68" i="1"/>
  <c r="R68" i="1"/>
  <c r="T68" i="1"/>
  <c r="J69" i="1"/>
  <c r="K69" i="1" s="1"/>
  <c r="L69" i="1" s="1"/>
  <c r="O69" i="1" s="1"/>
  <c r="M69" i="1"/>
  <c r="P69" i="1"/>
  <c r="R69" i="1"/>
  <c r="T69" i="1"/>
  <c r="J70" i="1"/>
  <c r="K70" i="1"/>
  <c r="L70" i="1" s="1"/>
  <c r="O70" i="1" s="1"/>
  <c r="M70" i="1"/>
  <c r="N70" i="1" s="1"/>
  <c r="S70" i="1" s="1"/>
  <c r="P70" i="1"/>
  <c r="R70" i="1"/>
  <c r="T70" i="1"/>
  <c r="J71" i="1"/>
  <c r="N71" i="1" s="1"/>
  <c r="M71" i="1"/>
  <c r="P71" i="1"/>
  <c r="R71" i="1"/>
  <c r="T71" i="1"/>
  <c r="J72" i="1"/>
  <c r="K72" i="1"/>
  <c r="L72" i="1" s="1"/>
  <c r="O72" i="1" s="1"/>
  <c r="M72" i="1"/>
  <c r="N72" i="1" s="1"/>
  <c r="S72" i="1" s="1"/>
  <c r="P72" i="1"/>
  <c r="R72" i="1"/>
  <c r="T72" i="1"/>
  <c r="J73" i="1"/>
  <c r="K73" i="1" s="1"/>
  <c r="L73" i="1" s="1"/>
  <c r="O73" i="1" s="1"/>
  <c r="M73" i="1"/>
  <c r="N73" i="1"/>
  <c r="P73" i="1"/>
  <c r="R73" i="1"/>
  <c r="T73" i="1"/>
  <c r="J74" i="1"/>
  <c r="K74" i="1" s="1"/>
  <c r="L74" i="1" s="1"/>
  <c r="O74" i="1" s="1"/>
  <c r="M74" i="1"/>
  <c r="N74" i="1" s="1"/>
  <c r="S74" i="1" s="1"/>
  <c r="P74" i="1"/>
  <c r="R74" i="1"/>
  <c r="T74" i="1"/>
  <c r="J75" i="1"/>
  <c r="K75" i="1" s="1"/>
  <c r="L75" i="1" s="1"/>
  <c r="O75" i="1" s="1"/>
  <c r="M75" i="1"/>
  <c r="N75" i="1"/>
  <c r="Q75" i="1" s="1"/>
  <c r="P75" i="1"/>
  <c r="R75" i="1"/>
  <c r="T75" i="1"/>
  <c r="J76" i="1"/>
  <c r="K76" i="1"/>
  <c r="L76" i="1" s="1"/>
  <c r="O76" i="1" s="1"/>
  <c r="M76" i="1"/>
  <c r="N76" i="1" s="1"/>
  <c r="S76" i="1" s="1"/>
  <c r="P76" i="1"/>
  <c r="R76" i="1"/>
  <c r="T76" i="1"/>
  <c r="J77" i="1"/>
  <c r="K77" i="1" s="1"/>
  <c r="L77" i="1" s="1"/>
  <c r="O77" i="1" s="1"/>
  <c r="M77" i="1"/>
  <c r="P77" i="1"/>
  <c r="R77" i="1"/>
  <c r="T77" i="1"/>
  <c r="J78" i="1"/>
  <c r="K78" i="1"/>
  <c r="L78" i="1" s="1"/>
  <c r="O78" i="1" s="1"/>
  <c r="M78" i="1"/>
  <c r="N78" i="1" s="1"/>
  <c r="S78" i="1" s="1"/>
  <c r="P78" i="1"/>
  <c r="R78" i="1"/>
  <c r="T78" i="1"/>
  <c r="J79" i="1"/>
  <c r="N79" i="1" s="1"/>
  <c r="M79" i="1"/>
  <c r="P79" i="1"/>
  <c r="R79" i="1"/>
  <c r="T79" i="1"/>
  <c r="J80" i="1"/>
  <c r="K80" i="1"/>
  <c r="L80" i="1" s="1"/>
  <c r="O80" i="1" s="1"/>
  <c r="M80" i="1"/>
  <c r="N80" i="1" s="1"/>
  <c r="S80" i="1" s="1"/>
  <c r="P80" i="1"/>
  <c r="R80" i="1"/>
  <c r="T80" i="1"/>
  <c r="J81" i="1"/>
  <c r="K81" i="1" s="1"/>
  <c r="L81" i="1" s="1"/>
  <c r="O81" i="1" s="1"/>
  <c r="M81" i="1"/>
  <c r="N81" i="1"/>
  <c r="P81" i="1"/>
  <c r="R81" i="1"/>
  <c r="T81" i="1"/>
  <c r="J82" i="1"/>
  <c r="K82" i="1" s="1"/>
  <c r="L82" i="1" s="1"/>
  <c r="O82" i="1" s="1"/>
  <c r="M82" i="1"/>
  <c r="N82" i="1" s="1"/>
  <c r="S82" i="1" s="1"/>
  <c r="P82" i="1"/>
  <c r="R82" i="1"/>
  <c r="T82" i="1"/>
  <c r="J83" i="1"/>
  <c r="K83" i="1" s="1"/>
  <c r="L83" i="1" s="1"/>
  <c r="O83" i="1" s="1"/>
  <c r="M83" i="1"/>
  <c r="N83" i="1"/>
  <c r="P83" i="1"/>
  <c r="R83" i="1"/>
  <c r="T83" i="1"/>
  <c r="J84" i="1"/>
  <c r="K84" i="1"/>
  <c r="L84" i="1"/>
  <c r="O84" i="1" s="1"/>
  <c r="M84" i="1"/>
  <c r="N84" i="1" s="1"/>
  <c r="S84" i="1" s="1"/>
  <c r="P84" i="1"/>
  <c r="R84" i="1"/>
  <c r="T84" i="1"/>
  <c r="J85" i="1"/>
  <c r="K85" i="1" s="1"/>
  <c r="L85" i="1" s="1"/>
  <c r="O85" i="1" s="1"/>
  <c r="M85" i="1"/>
  <c r="P85" i="1"/>
  <c r="R85" i="1"/>
  <c r="T85" i="1"/>
  <c r="J86" i="1"/>
  <c r="K86" i="1"/>
  <c r="L86" i="1" s="1"/>
  <c r="O86" i="1" s="1"/>
  <c r="M86" i="1"/>
  <c r="N86" i="1"/>
  <c r="S86" i="1" s="1"/>
  <c r="P86" i="1"/>
  <c r="R86" i="1"/>
  <c r="T86" i="1"/>
  <c r="J87" i="1"/>
  <c r="N87" i="1" s="1"/>
  <c r="K87" i="1"/>
  <c r="L87" i="1" s="1"/>
  <c r="O87" i="1" s="1"/>
  <c r="M87" i="1"/>
  <c r="P87" i="1"/>
  <c r="R87" i="1"/>
  <c r="T87" i="1"/>
  <c r="J88" i="1"/>
  <c r="K88" i="1"/>
  <c r="L88" i="1" s="1"/>
  <c r="O88" i="1" s="1"/>
  <c r="M88" i="1"/>
  <c r="N88" i="1" s="1"/>
  <c r="P88" i="1"/>
  <c r="R88" i="1"/>
  <c r="T88" i="1"/>
  <c r="J89" i="1"/>
  <c r="K89" i="1"/>
  <c r="L89" i="1"/>
  <c r="O89" i="1" s="1"/>
  <c r="M89" i="1"/>
  <c r="N89" i="1" s="1"/>
  <c r="S89" i="1" s="1"/>
  <c r="P89" i="1"/>
  <c r="R89" i="1"/>
  <c r="T89" i="1"/>
  <c r="J90" i="1"/>
  <c r="K90" i="1"/>
  <c r="L90" i="1" s="1"/>
  <c r="O90" i="1" s="1"/>
  <c r="M90" i="1"/>
  <c r="N90" i="1" s="1"/>
  <c r="P90" i="1"/>
  <c r="R90" i="1"/>
  <c r="T90" i="1"/>
  <c r="J91" i="1"/>
  <c r="K91" i="1"/>
  <c r="L91" i="1"/>
  <c r="O91" i="1" s="1"/>
  <c r="M91" i="1"/>
  <c r="N91" i="1" s="1"/>
  <c r="S91" i="1" s="1"/>
  <c r="P91" i="1"/>
  <c r="R91" i="1"/>
  <c r="T91" i="1"/>
  <c r="J92" i="1"/>
  <c r="K92" i="1"/>
  <c r="L92" i="1" s="1"/>
  <c r="O92" i="1" s="1"/>
  <c r="M92" i="1"/>
  <c r="N92" i="1" s="1"/>
  <c r="P92" i="1"/>
  <c r="R92" i="1"/>
  <c r="T92" i="1"/>
  <c r="J93" i="1"/>
  <c r="K93" i="1"/>
  <c r="L93" i="1"/>
  <c r="O93" i="1" s="1"/>
  <c r="M93" i="1"/>
  <c r="N93" i="1" s="1"/>
  <c r="S93" i="1" s="1"/>
  <c r="P93" i="1"/>
  <c r="R93" i="1"/>
  <c r="T93" i="1"/>
  <c r="T2" i="1"/>
  <c r="R2" i="1"/>
  <c r="P2" i="1"/>
  <c r="M2" i="1"/>
  <c r="J2" i="1"/>
  <c r="K2" i="1" s="1"/>
  <c r="L2" i="1" s="1"/>
  <c r="O2" i="1" s="1"/>
  <c r="S71" i="1" l="1"/>
  <c r="V46" i="1"/>
  <c r="V26" i="1"/>
  <c r="Q92" i="1"/>
  <c r="S92" i="1"/>
  <c r="Q59" i="1"/>
  <c r="S55" i="1"/>
  <c r="V80" i="1"/>
  <c r="Q83" i="1"/>
  <c r="S79" i="1"/>
  <c r="Q73" i="1"/>
  <c r="V73" i="1" s="1"/>
  <c r="V64" i="1"/>
  <c r="S49" i="1"/>
  <c r="S41" i="1"/>
  <c r="V36" i="1"/>
  <c r="V60" i="1"/>
  <c r="Q88" i="1"/>
  <c r="S88" i="1"/>
  <c r="Q87" i="1"/>
  <c r="S87" i="1"/>
  <c r="V68" i="1"/>
  <c r="V28" i="1"/>
  <c r="S63" i="1"/>
  <c r="V91" i="1"/>
  <c r="Q81" i="1"/>
  <c r="Q90" i="1"/>
  <c r="S90" i="1"/>
  <c r="V76" i="1"/>
  <c r="Q51" i="1"/>
  <c r="S45" i="1"/>
  <c r="S37" i="1"/>
  <c r="K79" i="1"/>
  <c r="L79" i="1" s="1"/>
  <c r="O79" i="1" s="1"/>
  <c r="Q79" i="1" s="1"/>
  <c r="V79" i="1" s="1"/>
  <c r="K71" i="1"/>
  <c r="L71" i="1" s="1"/>
  <c r="O71" i="1" s="1"/>
  <c r="Q71" i="1" s="1"/>
  <c r="V71" i="1" s="1"/>
  <c r="K63" i="1"/>
  <c r="L63" i="1" s="1"/>
  <c r="O63" i="1" s="1"/>
  <c r="Q63" i="1" s="1"/>
  <c r="V63" i="1" s="1"/>
  <c r="K55" i="1"/>
  <c r="L55" i="1" s="1"/>
  <c r="O55" i="1" s="1"/>
  <c r="Q55" i="1" s="1"/>
  <c r="V55" i="1" s="1"/>
  <c r="K49" i="1"/>
  <c r="L49" i="1" s="1"/>
  <c r="O49" i="1" s="1"/>
  <c r="Q49" i="1" s="1"/>
  <c r="V49" i="1" s="1"/>
  <c r="K45" i="1"/>
  <c r="L45" i="1" s="1"/>
  <c r="O45" i="1" s="1"/>
  <c r="Q45" i="1" s="1"/>
  <c r="V45" i="1" s="1"/>
  <c r="K41" i="1"/>
  <c r="L41" i="1" s="1"/>
  <c r="O41" i="1" s="1"/>
  <c r="Q41" i="1" s="1"/>
  <c r="V41" i="1" s="1"/>
  <c r="K37" i="1"/>
  <c r="L37" i="1" s="1"/>
  <c r="O37" i="1" s="1"/>
  <c r="Q37" i="1" s="1"/>
  <c r="V37" i="1" s="1"/>
  <c r="N20" i="1"/>
  <c r="S20" i="1" s="1"/>
  <c r="Q20" i="1"/>
  <c r="N16" i="1"/>
  <c r="S16" i="1" s="1"/>
  <c r="N12" i="1"/>
  <c r="S12" i="1" s="1"/>
  <c r="N8" i="1"/>
  <c r="S8" i="1" s="1"/>
  <c r="N4" i="1"/>
  <c r="S4" i="1" s="1"/>
  <c r="Q4" i="1"/>
  <c r="S81" i="1"/>
  <c r="V81" i="1" s="1"/>
  <c r="S73" i="1"/>
  <c r="S65" i="1"/>
  <c r="S57" i="1"/>
  <c r="N47" i="1"/>
  <c r="N43" i="1"/>
  <c r="N39" i="1"/>
  <c r="N35" i="1"/>
  <c r="Q29" i="1"/>
  <c r="V29" i="1" s="1"/>
  <c r="Q26" i="1"/>
  <c r="Q93" i="1"/>
  <c r="V93" i="1" s="1"/>
  <c r="Q91" i="1"/>
  <c r="Q89" i="1"/>
  <c r="V89" i="1" s="1"/>
  <c r="N85" i="1"/>
  <c r="Q80" i="1"/>
  <c r="N77" i="1"/>
  <c r="V75" i="1"/>
  <c r="Q72" i="1"/>
  <c r="V72" i="1" s="1"/>
  <c r="N69" i="1"/>
  <c r="V67" i="1"/>
  <c r="Q64" i="1"/>
  <c r="N61" i="1"/>
  <c r="Q56" i="1"/>
  <c r="V56" i="1" s="1"/>
  <c r="N53" i="1"/>
  <c r="V51" i="1"/>
  <c r="S83" i="1"/>
  <c r="V83" i="1" s="1"/>
  <c r="S75" i="1"/>
  <c r="S67" i="1"/>
  <c r="S59" i="1"/>
  <c r="V59" i="1" s="1"/>
  <c r="S51" i="1"/>
  <c r="Q28" i="1"/>
  <c r="N22" i="1"/>
  <c r="S22" i="1" s="1"/>
  <c r="N18" i="1"/>
  <c r="S18" i="1" s="1"/>
  <c r="Q18" i="1"/>
  <c r="N14" i="1"/>
  <c r="S14" i="1" s="1"/>
  <c r="N10" i="1"/>
  <c r="S10" i="1" s="1"/>
  <c r="N6" i="1"/>
  <c r="S6" i="1" s="1"/>
  <c r="V65" i="1"/>
  <c r="Q82" i="1"/>
  <c r="V82" i="1" s="1"/>
  <c r="Q74" i="1"/>
  <c r="V74" i="1" s="1"/>
  <c r="Q66" i="1"/>
  <c r="V66" i="1" s="1"/>
  <c r="Q58" i="1"/>
  <c r="V58" i="1" s="1"/>
  <c r="Q50" i="1"/>
  <c r="V50" i="1" s="1"/>
  <c r="Q46" i="1"/>
  <c r="Q42" i="1"/>
  <c r="V42" i="1" s="1"/>
  <c r="Q38" i="1"/>
  <c r="V38" i="1" s="1"/>
  <c r="Q34" i="1"/>
  <c r="V34" i="1" s="1"/>
  <c r="N33" i="1"/>
  <c r="N32" i="1"/>
  <c r="S32" i="1" s="1"/>
  <c r="N30" i="1"/>
  <c r="S30" i="1" s="1"/>
  <c r="Q86" i="1"/>
  <c r="V86" i="1" s="1"/>
  <c r="Q78" i="1"/>
  <c r="V78" i="1" s="1"/>
  <c r="Q70" i="1"/>
  <c r="V70" i="1" s="1"/>
  <c r="V57" i="1"/>
  <c r="Q54" i="1"/>
  <c r="V54" i="1" s="1"/>
  <c r="Q48" i="1"/>
  <c r="V48" i="1" s="1"/>
  <c r="Q44" i="1"/>
  <c r="V44" i="1" s="1"/>
  <c r="N31" i="1"/>
  <c r="V27" i="1"/>
  <c r="Q25" i="1"/>
  <c r="V25" i="1" s="1"/>
  <c r="Q62" i="1"/>
  <c r="V62" i="1" s="1"/>
  <c r="Q40" i="1"/>
  <c r="V40" i="1" s="1"/>
  <c r="Q36" i="1"/>
  <c r="V87" i="1"/>
  <c r="Q84" i="1"/>
  <c r="V84" i="1" s="1"/>
  <c r="Q76" i="1"/>
  <c r="Q68" i="1"/>
  <c r="Q60" i="1"/>
  <c r="Q52" i="1"/>
  <c r="V52" i="1" s="1"/>
  <c r="N24" i="1"/>
  <c r="S24" i="1" s="1"/>
  <c r="N23" i="1"/>
  <c r="N21" i="1"/>
  <c r="N19" i="1"/>
  <c r="N17" i="1"/>
  <c r="N15" i="1"/>
  <c r="N13" i="1"/>
  <c r="N11" i="1"/>
  <c r="N9" i="1"/>
  <c r="N7" i="1"/>
  <c r="N5" i="1"/>
  <c r="N3" i="1"/>
  <c r="N2" i="1"/>
  <c r="S2" i="1" s="1"/>
  <c r="S7" i="1" l="1"/>
  <c r="V7" i="1" s="1"/>
  <c r="Q7" i="1"/>
  <c r="S9" i="1"/>
  <c r="Q9" i="1"/>
  <c r="Q32" i="1"/>
  <c r="V32" i="1" s="1"/>
  <c r="Q14" i="1"/>
  <c r="V14" i="1" s="1"/>
  <c r="S69" i="1"/>
  <c r="Q69" i="1"/>
  <c r="Q16" i="1"/>
  <c r="S11" i="1"/>
  <c r="V11" i="1" s="1"/>
  <c r="Q11" i="1"/>
  <c r="V18" i="1"/>
  <c r="S77" i="1"/>
  <c r="V77" i="1" s="1"/>
  <c r="Q77" i="1"/>
  <c r="Q39" i="1"/>
  <c r="S39" i="1"/>
  <c r="V39" i="1" s="1"/>
  <c r="V4" i="1"/>
  <c r="V20" i="1"/>
  <c r="V90" i="1"/>
  <c r="S17" i="1"/>
  <c r="Q17" i="1"/>
  <c r="S33" i="1"/>
  <c r="V33" i="1" s="1"/>
  <c r="Q33" i="1"/>
  <c r="Q6" i="1"/>
  <c r="Q22" i="1"/>
  <c r="V22" i="1" s="1"/>
  <c r="Q43" i="1"/>
  <c r="S43" i="1"/>
  <c r="V43" i="1" s="1"/>
  <c r="Q8" i="1"/>
  <c r="V8" i="1" s="1"/>
  <c r="Q24" i="1"/>
  <c r="V24" i="1" s="1"/>
  <c r="S3" i="1"/>
  <c r="Q3" i="1"/>
  <c r="V6" i="1"/>
  <c r="S61" i="1"/>
  <c r="Q61" i="1"/>
  <c r="Q47" i="1"/>
  <c r="S47" i="1"/>
  <c r="S13" i="1"/>
  <c r="Q13" i="1"/>
  <c r="S53" i="1"/>
  <c r="Q53" i="1"/>
  <c r="S15" i="1"/>
  <c r="Q15" i="1"/>
  <c r="S19" i="1"/>
  <c r="V19" i="1" s="1"/>
  <c r="Q19" i="1"/>
  <c r="S5" i="1"/>
  <c r="Q5" i="1"/>
  <c r="S21" i="1"/>
  <c r="Q21" i="1"/>
  <c r="Q30" i="1"/>
  <c r="V30" i="1" s="1"/>
  <c r="Q10" i="1"/>
  <c r="V10" i="1" s="1"/>
  <c r="S85" i="1"/>
  <c r="V85" i="1" s="1"/>
  <c r="Q85" i="1"/>
  <c r="Q12" i="1"/>
  <c r="V16" i="1"/>
  <c r="Q35" i="1"/>
  <c r="S35" i="1"/>
  <c r="V35" i="1" s="1"/>
  <c r="S23" i="1"/>
  <c r="Q23" i="1"/>
  <c r="S31" i="1"/>
  <c r="V31" i="1" s="1"/>
  <c r="Q31" i="1"/>
  <c r="V12" i="1"/>
  <c r="V88" i="1"/>
  <c r="V92" i="1"/>
  <c r="Q2" i="1"/>
  <c r="V2" i="1"/>
  <c r="V15" i="1" l="1"/>
  <c r="V61" i="1"/>
  <c r="V17" i="1"/>
  <c r="V21" i="1"/>
  <c r="V53" i="1"/>
  <c r="V9" i="1"/>
  <c r="V5" i="1"/>
  <c r="V13" i="1"/>
  <c r="V23" i="1"/>
  <c r="V3" i="1"/>
  <c r="V47" i="1"/>
  <c r="V69" i="1"/>
</calcChain>
</file>

<file path=xl/sharedStrings.xml><?xml version="1.0" encoding="utf-8"?>
<sst xmlns="http://schemas.openxmlformats.org/spreadsheetml/2006/main" count="23" uniqueCount="23">
  <si>
    <t>top_thk_inch</t>
  </si>
  <si>
    <t>skirt_thk_inch</t>
  </si>
  <si>
    <t>dia_case_inch</t>
  </si>
  <si>
    <t>length_skirt_inch</t>
  </si>
  <si>
    <t>dia_anchor_inch</t>
  </si>
  <si>
    <t>gusset_height_inch</t>
  </si>
  <si>
    <t>gusset_thk_inch</t>
  </si>
  <si>
    <t>number_anchors</t>
  </si>
  <si>
    <t>slot_opening</t>
  </si>
  <si>
    <t>peak_stress_psi</t>
  </si>
  <si>
    <t>theta</t>
  </si>
  <si>
    <t>arc</t>
  </si>
  <si>
    <t>chord</t>
  </si>
  <si>
    <t>Ga</t>
  </si>
  <si>
    <t>Gb</t>
  </si>
  <si>
    <t>Gc</t>
  </si>
  <si>
    <t>v_skirt</t>
  </si>
  <si>
    <t>v_gussets</t>
  </si>
  <si>
    <t>v_top</t>
  </si>
  <si>
    <t>v_cut</t>
  </si>
  <si>
    <t>v_rings</t>
  </si>
  <si>
    <t>v_lug</t>
  </si>
  <si>
    <t>weight_lbm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</si>
</sst>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C9281-7343-46D9-B837-FCE07B48A1F4}">
  <dimension ref="A1:W93"/>
  <sheetViews>
    <sheetView tabSelected="1" workbookViewId="0">
      <selection activeCell="AF22" sqref="AF22"/>
    </sheetView>
  </sheetViews>
  <sheetFormatPr defaultRowHeight="15" x14ac:dyDescent="0.25"/>
  <cols>
    <col min="10" max="21" width="0" hidden="1" customWidth="1"/>
    <col min="22" max="22" width="12" bestFit="1" customWidth="1"/>
  </cols>
  <sheetData>
    <row r="1" spans="1:23" ht="15.7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9</v>
      </c>
    </row>
    <row r="2" spans="1:23" x14ac:dyDescent="0.25">
      <c r="A2">
        <v>0.5</v>
      </c>
      <c r="B2">
        <v>0.875</v>
      </c>
      <c r="C2">
        <v>160</v>
      </c>
      <c r="D2">
        <v>100</v>
      </c>
      <c r="E2">
        <v>90</v>
      </c>
      <c r="F2">
        <v>12</v>
      </c>
      <c r="G2">
        <v>0.5</v>
      </c>
      <c r="H2">
        <v>9</v>
      </c>
      <c r="I2">
        <v>0.34999999999999992</v>
      </c>
      <c r="J2">
        <f>360/H2</f>
        <v>40</v>
      </c>
      <c r="K2">
        <f>J2*(C2/8)</f>
        <v>800</v>
      </c>
      <c r="L2">
        <f>C2*SIN(RADIANS(K2/C2))</f>
        <v>13.944918839625306</v>
      </c>
      <c r="M2">
        <f>E2/2</f>
        <v>45</v>
      </c>
      <c r="N2">
        <f>M2*(SIN(RADIANS(J2))/SIN(RADIANS(0.5*(180-J2))))</f>
        <v>30.781812899310186</v>
      </c>
      <c r="O2">
        <f>SQRT(L2^2 + (0.5*(C2-E2))^2)</f>
        <v>37.675731730700825</v>
      </c>
      <c r="P2">
        <f>0.25*PI()*(C2^2 - (C2-2*B2)^2)*(D2+F2)</f>
        <v>48990.781238242627</v>
      </c>
      <c r="Q2">
        <f>H2*(M2+N2+2*O2)*G2*F2</f>
        <v>8161.1969234784374</v>
      </c>
      <c r="R2">
        <f>(0.25*C2^2)*A2</f>
        <v>3200</v>
      </c>
      <c r="S2">
        <f>-I2*((N2/2)*SQRT(M2^2 - 0.25*N2^2))*A2*H2</f>
        <v>-1025.045366322003</v>
      </c>
      <c r="T2">
        <f>(27.234+H2*5.484)*PI()*F2</f>
        <v>2887.3749760613073</v>
      </c>
      <c r="U2">
        <v>1387</v>
      </c>
      <c r="V2">
        <f>0.284*(U2+T2+S2+R2+Q2+P2)</f>
        <v>18062.771407094744</v>
      </c>
      <c r="W2">
        <v>166561.92499999999</v>
      </c>
    </row>
    <row r="3" spans="1:23" x14ac:dyDescent="0.25">
      <c r="A3">
        <v>0.5</v>
      </c>
      <c r="B3">
        <v>0.875</v>
      </c>
      <c r="C3">
        <v>160</v>
      </c>
      <c r="D3">
        <v>100</v>
      </c>
      <c r="E3">
        <v>90</v>
      </c>
      <c r="F3">
        <v>12</v>
      </c>
      <c r="G3">
        <v>1.25</v>
      </c>
      <c r="H3">
        <v>9</v>
      </c>
      <c r="I3">
        <v>0.34999999999999992</v>
      </c>
      <c r="J3">
        <f t="shared" ref="J3:J66" si="0">360/H3</f>
        <v>40</v>
      </c>
      <c r="K3">
        <f t="shared" ref="K3:K66" si="1">J3*(C3/8)</f>
        <v>800</v>
      </c>
      <c r="L3">
        <f t="shared" ref="L3:L66" si="2">C3*SIN(RADIANS(K3/C3))</f>
        <v>13.944918839625306</v>
      </c>
      <c r="M3">
        <f t="shared" ref="M3:M66" si="3">E3/2</f>
        <v>45</v>
      </c>
      <c r="N3">
        <f t="shared" ref="N3:N66" si="4">M3*(SIN(RADIANS(J3))/SIN(RADIANS(0.5*(180-J3))))</f>
        <v>30.781812899310186</v>
      </c>
      <c r="O3">
        <f t="shared" ref="O3:O66" si="5">SQRT(L3^2 + (0.5*(C3-E3))^2)</f>
        <v>37.675731730700825</v>
      </c>
      <c r="P3">
        <f t="shared" ref="P3:P66" si="6">0.25*PI()*(C3^2 - (C3-2*B3)^2)*(D3+F3)</f>
        <v>48990.781238242627</v>
      </c>
      <c r="Q3">
        <f t="shared" ref="Q3:Q66" si="7">H3*(M3+N3+2*O3)*G3*F3</f>
        <v>20402.992308696095</v>
      </c>
      <c r="R3">
        <f t="shared" ref="R3:R66" si="8">(0.25*C3^2)*A3</f>
        <v>3200</v>
      </c>
      <c r="S3">
        <f t="shared" ref="S3:S66" si="9">-I3*((N3/2)*SQRT(M3^2 - 0.25*N3^2))*A3*H3</f>
        <v>-1025.045366322003</v>
      </c>
      <c r="T3">
        <f t="shared" ref="T3:T66" si="10">(27.234+H3*5.484)*PI()*F3</f>
        <v>2887.3749760613073</v>
      </c>
      <c r="U3">
        <v>1388</v>
      </c>
      <c r="V3">
        <f t="shared" ref="V3:V66" si="11">0.284*(U3+T3+S3+R3+Q3+P3)</f>
        <v>21539.725296496559</v>
      </c>
      <c r="W3">
        <v>95907.3851</v>
      </c>
    </row>
    <row r="4" spans="1:23" x14ac:dyDescent="0.25">
      <c r="A4">
        <v>0.5</v>
      </c>
      <c r="B4">
        <v>0.875</v>
      </c>
      <c r="C4">
        <v>160</v>
      </c>
      <c r="D4">
        <v>200</v>
      </c>
      <c r="E4">
        <v>90</v>
      </c>
      <c r="F4">
        <v>12</v>
      </c>
      <c r="G4">
        <v>0.5</v>
      </c>
      <c r="H4">
        <v>9</v>
      </c>
      <c r="I4">
        <v>0.34999999999999992</v>
      </c>
      <c r="J4">
        <f t="shared" si="0"/>
        <v>40</v>
      </c>
      <c r="K4">
        <f t="shared" si="1"/>
        <v>800</v>
      </c>
      <c r="L4">
        <f t="shared" si="2"/>
        <v>13.944918839625306</v>
      </c>
      <c r="M4">
        <f t="shared" si="3"/>
        <v>45</v>
      </c>
      <c r="N4">
        <f t="shared" si="4"/>
        <v>30.781812899310186</v>
      </c>
      <c r="O4">
        <f t="shared" si="5"/>
        <v>37.675731730700825</v>
      </c>
      <c r="P4">
        <f t="shared" si="6"/>
        <v>92732.55020095926</v>
      </c>
      <c r="Q4">
        <f t="shared" si="7"/>
        <v>8161.1969234784374</v>
      </c>
      <c r="R4">
        <f t="shared" si="8"/>
        <v>3200</v>
      </c>
      <c r="S4">
        <f t="shared" si="9"/>
        <v>-1025.045366322003</v>
      </c>
      <c r="T4">
        <f t="shared" si="10"/>
        <v>2887.3749760613073</v>
      </c>
      <c r="U4">
        <v>1389</v>
      </c>
      <c r="V4">
        <f t="shared" si="11"/>
        <v>30486.001792506264</v>
      </c>
      <c r="W4">
        <v>197794.94500000001</v>
      </c>
    </row>
    <row r="5" spans="1:23" x14ac:dyDescent="0.25">
      <c r="A5">
        <v>0.5</v>
      </c>
      <c r="B5">
        <v>0.875</v>
      </c>
      <c r="C5">
        <v>160</v>
      </c>
      <c r="D5">
        <v>200</v>
      </c>
      <c r="E5">
        <v>90</v>
      </c>
      <c r="F5">
        <v>12</v>
      </c>
      <c r="G5">
        <v>1.25</v>
      </c>
      <c r="H5">
        <v>9</v>
      </c>
      <c r="I5">
        <v>0.34999999999999992</v>
      </c>
      <c r="J5">
        <f t="shared" si="0"/>
        <v>40</v>
      </c>
      <c r="K5">
        <f t="shared" si="1"/>
        <v>800</v>
      </c>
      <c r="L5">
        <f t="shared" si="2"/>
        <v>13.944918839625306</v>
      </c>
      <c r="M5">
        <f t="shared" si="3"/>
        <v>45</v>
      </c>
      <c r="N5">
        <f t="shared" si="4"/>
        <v>30.781812899310186</v>
      </c>
      <c r="O5">
        <f t="shared" si="5"/>
        <v>37.675731730700825</v>
      </c>
      <c r="P5">
        <f t="shared" si="6"/>
        <v>92732.55020095926</v>
      </c>
      <c r="Q5">
        <f t="shared" si="7"/>
        <v>20402.992308696095</v>
      </c>
      <c r="R5">
        <f t="shared" si="8"/>
        <v>3200</v>
      </c>
      <c r="S5">
        <f t="shared" si="9"/>
        <v>-1025.045366322003</v>
      </c>
      <c r="T5">
        <f t="shared" si="10"/>
        <v>2887.3749760613073</v>
      </c>
      <c r="U5">
        <v>1390</v>
      </c>
      <c r="V5">
        <f t="shared" si="11"/>
        <v>33962.955681908075</v>
      </c>
      <c r="W5">
        <v>121982.052</v>
      </c>
    </row>
    <row r="6" spans="1:23" x14ac:dyDescent="0.25">
      <c r="A6">
        <v>1.25</v>
      </c>
      <c r="B6">
        <v>0.875</v>
      </c>
      <c r="C6">
        <v>160</v>
      </c>
      <c r="D6">
        <v>100</v>
      </c>
      <c r="E6">
        <v>90</v>
      </c>
      <c r="F6">
        <v>12</v>
      </c>
      <c r="G6">
        <v>0.5</v>
      </c>
      <c r="H6">
        <v>9</v>
      </c>
      <c r="I6">
        <v>0.34999999999999992</v>
      </c>
      <c r="J6">
        <f t="shared" si="0"/>
        <v>40</v>
      </c>
      <c r="K6">
        <f t="shared" si="1"/>
        <v>800</v>
      </c>
      <c r="L6">
        <f t="shared" si="2"/>
        <v>13.944918839625306</v>
      </c>
      <c r="M6">
        <f t="shared" si="3"/>
        <v>45</v>
      </c>
      <c r="N6">
        <f t="shared" si="4"/>
        <v>30.781812899310186</v>
      </c>
      <c r="O6">
        <f t="shared" si="5"/>
        <v>37.675731730700825</v>
      </c>
      <c r="P6">
        <f t="shared" si="6"/>
        <v>48990.781238242627</v>
      </c>
      <c r="Q6">
        <f t="shared" si="7"/>
        <v>8161.1969234784374</v>
      </c>
      <c r="R6">
        <f t="shared" si="8"/>
        <v>8000</v>
      </c>
      <c r="S6">
        <f t="shared" si="9"/>
        <v>-2562.6134158050072</v>
      </c>
      <c r="T6">
        <f t="shared" si="10"/>
        <v>2887.3749760613073</v>
      </c>
      <c r="U6">
        <v>1391</v>
      </c>
      <c r="V6">
        <f t="shared" si="11"/>
        <v>18990.438081041568</v>
      </c>
      <c r="W6">
        <v>156314.69399999999</v>
      </c>
    </row>
    <row r="7" spans="1:23" x14ac:dyDescent="0.25">
      <c r="A7">
        <v>1.25</v>
      </c>
      <c r="B7">
        <v>0.875</v>
      </c>
      <c r="C7">
        <v>160</v>
      </c>
      <c r="D7">
        <v>100</v>
      </c>
      <c r="E7">
        <v>90</v>
      </c>
      <c r="F7">
        <v>12</v>
      </c>
      <c r="G7">
        <v>1.25</v>
      </c>
      <c r="H7">
        <v>9</v>
      </c>
      <c r="I7">
        <v>0.34999999999999992</v>
      </c>
      <c r="J7">
        <f t="shared" si="0"/>
        <v>40</v>
      </c>
      <c r="K7">
        <f t="shared" si="1"/>
        <v>800</v>
      </c>
      <c r="L7">
        <f t="shared" si="2"/>
        <v>13.944918839625306</v>
      </c>
      <c r="M7">
        <f t="shared" si="3"/>
        <v>45</v>
      </c>
      <c r="N7">
        <f t="shared" si="4"/>
        <v>30.781812899310186</v>
      </c>
      <c r="O7">
        <f t="shared" si="5"/>
        <v>37.675731730700825</v>
      </c>
      <c r="P7">
        <f t="shared" si="6"/>
        <v>48990.781238242627</v>
      </c>
      <c r="Q7">
        <f t="shared" si="7"/>
        <v>20402.992308696095</v>
      </c>
      <c r="R7">
        <f t="shared" si="8"/>
        <v>8000</v>
      </c>
      <c r="S7">
        <f t="shared" si="9"/>
        <v>-2562.6134158050072</v>
      </c>
      <c r="T7">
        <f t="shared" si="10"/>
        <v>2887.3749760613073</v>
      </c>
      <c r="U7">
        <v>1392</v>
      </c>
      <c r="V7">
        <f t="shared" si="11"/>
        <v>22467.391970443387</v>
      </c>
      <c r="W7">
        <v>89319.210200000001</v>
      </c>
    </row>
    <row r="8" spans="1:23" x14ac:dyDescent="0.25">
      <c r="A8">
        <v>1.25</v>
      </c>
      <c r="B8">
        <v>0.875</v>
      </c>
      <c r="C8">
        <v>160</v>
      </c>
      <c r="D8">
        <v>200</v>
      </c>
      <c r="E8">
        <v>90</v>
      </c>
      <c r="F8">
        <v>12</v>
      </c>
      <c r="G8">
        <v>0.5</v>
      </c>
      <c r="H8">
        <v>9</v>
      </c>
      <c r="I8">
        <v>0.34999999999999992</v>
      </c>
      <c r="J8">
        <f t="shared" si="0"/>
        <v>40</v>
      </c>
      <c r="K8">
        <f t="shared" si="1"/>
        <v>800</v>
      </c>
      <c r="L8">
        <f t="shared" si="2"/>
        <v>13.944918839625306</v>
      </c>
      <c r="M8">
        <f t="shared" si="3"/>
        <v>45</v>
      </c>
      <c r="N8">
        <f t="shared" si="4"/>
        <v>30.781812899310186</v>
      </c>
      <c r="O8">
        <f t="shared" si="5"/>
        <v>37.675731730700825</v>
      </c>
      <c r="P8">
        <f t="shared" si="6"/>
        <v>92732.55020095926</v>
      </c>
      <c r="Q8">
        <f t="shared" si="7"/>
        <v>8161.1969234784374</v>
      </c>
      <c r="R8">
        <f t="shared" si="8"/>
        <v>8000</v>
      </c>
      <c r="S8">
        <f t="shared" si="9"/>
        <v>-2562.6134158050072</v>
      </c>
      <c r="T8">
        <f t="shared" si="10"/>
        <v>2887.3749760613073</v>
      </c>
      <c r="U8">
        <v>1393</v>
      </c>
      <c r="V8">
        <f t="shared" si="11"/>
        <v>31413.668466453091</v>
      </c>
      <c r="W8">
        <v>186197.38500000001</v>
      </c>
    </row>
    <row r="9" spans="1:23" x14ac:dyDescent="0.25">
      <c r="A9">
        <v>1.25</v>
      </c>
      <c r="B9">
        <v>0.875</v>
      </c>
      <c r="C9">
        <v>160</v>
      </c>
      <c r="D9">
        <v>200</v>
      </c>
      <c r="E9">
        <v>90</v>
      </c>
      <c r="F9">
        <v>12</v>
      </c>
      <c r="G9">
        <v>1.25</v>
      </c>
      <c r="H9">
        <v>9</v>
      </c>
      <c r="I9">
        <v>0.34999999999999992</v>
      </c>
      <c r="J9">
        <f t="shared" si="0"/>
        <v>40</v>
      </c>
      <c r="K9">
        <f t="shared" si="1"/>
        <v>800</v>
      </c>
      <c r="L9">
        <f t="shared" si="2"/>
        <v>13.944918839625306</v>
      </c>
      <c r="M9">
        <f t="shared" si="3"/>
        <v>45</v>
      </c>
      <c r="N9">
        <f t="shared" si="4"/>
        <v>30.781812899310186</v>
      </c>
      <c r="O9">
        <f t="shared" si="5"/>
        <v>37.675731730700825</v>
      </c>
      <c r="P9">
        <f t="shared" si="6"/>
        <v>92732.55020095926</v>
      </c>
      <c r="Q9">
        <f t="shared" si="7"/>
        <v>20402.992308696095</v>
      </c>
      <c r="R9">
        <f t="shared" si="8"/>
        <v>8000</v>
      </c>
      <c r="S9">
        <f t="shared" si="9"/>
        <v>-2562.6134158050072</v>
      </c>
      <c r="T9">
        <f t="shared" si="10"/>
        <v>2887.3749760613073</v>
      </c>
      <c r="U9">
        <v>1394</v>
      </c>
      <c r="V9">
        <f t="shared" si="11"/>
        <v>34890.62235585491</v>
      </c>
      <c r="W9">
        <v>101760.257</v>
      </c>
    </row>
    <row r="10" spans="1:23" x14ac:dyDescent="0.25">
      <c r="A10">
        <v>0.875</v>
      </c>
      <c r="B10">
        <v>0.5</v>
      </c>
      <c r="C10">
        <v>160</v>
      </c>
      <c r="D10">
        <v>150</v>
      </c>
      <c r="E10">
        <v>80</v>
      </c>
      <c r="F10">
        <v>12</v>
      </c>
      <c r="G10">
        <v>0.875</v>
      </c>
      <c r="H10">
        <v>8</v>
      </c>
      <c r="I10">
        <v>0.34999999999999992</v>
      </c>
      <c r="J10">
        <f t="shared" si="0"/>
        <v>45</v>
      </c>
      <c r="K10">
        <f t="shared" si="1"/>
        <v>900</v>
      </c>
      <c r="L10">
        <f t="shared" si="2"/>
        <v>15.682742452729697</v>
      </c>
      <c r="M10">
        <f t="shared" si="3"/>
        <v>40</v>
      </c>
      <c r="N10">
        <f t="shared" si="4"/>
        <v>30.614674589207176</v>
      </c>
      <c r="O10">
        <f t="shared" si="5"/>
        <v>42.964501752477595</v>
      </c>
      <c r="P10">
        <f t="shared" si="6"/>
        <v>40587.806288053333</v>
      </c>
      <c r="Q10">
        <f t="shared" si="7"/>
        <v>13149.668959909641</v>
      </c>
      <c r="R10">
        <f t="shared" si="8"/>
        <v>5600</v>
      </c>
      <c r="S10">
        <f t="shared" si="9"/>
        <v>-1385.9292911256325</v>
      </c>
      <c r="T10">
        <f t="shared" si="10"/>
        <v>2680.6330467138696</v>
      </c>
      <c r="U10">
        <v>1395</v>
      </c>
      <c r="V10">
        <f t="shared" si="11"/>
        <v>17615.718837008542</v>
      </c>
      <c r="W10">
        <v>224692.15299999999</v>
      </c>
    </row>
    <row r="11" spans="1:23" x14ac:dyDescent="0.25">
      <c r="A11">
        <v>0.875</v>
      </c>
      <c r="B11">
        <v>0.5</v>
      </c>
      <c r="C11">
        <v>160</v>
      </c>
      <c r="D11">
        <v>150</v>
      </c>
      <c r="E11">
        <v>100</v>
      </c>
      <c r="F11">
        <v>12</v>
      </c>
      <c r="G11">
        <v>0.875</v>
      </c>
      <c r="H11">
        <v>8</v>
      </c>
      <c r="I11">
        <v>0.34999999999999992</v>
      </c>
      <c r="J11">
        <f t="shared" si="0"/>
        <v>45</v>
      </c>
      <c r="K11">
        <f t="shared" si="1"/>
        <v>900</v>
      </c>
      <c r="L11">
        <f t="shared" si="2"/>
        <v>15.682742452729697</v>
      </c>
      <c r="M11">
        <f t="shared" si="3"/>
        <v>50</v>
      </c>
      <c r="N11">
        <f t="shared" si="4"/>
        <v>38.268343236508976</v>
      </c>
      <c r="O11">
        <f t="shared" si="5"/>
        <v>33.851859784045104</v>
      </c>
      <c r="P11">
        <f t="shared" si="6"/>
        <v>40587.806288053333</v>
      </c>
      <c r="Q11">
        <f t="shared" si="7"/>
        <v>13101.653275586332</v>
      </c>
      <c r="R11">
        <f t="shared" si="8"/>
        <v>5600</v>
      </c>
      <c r="S11">
        <f t="shared" si="9"/>
        <v>-2165.5145173838014</v>
      </c>
      <c r="T11">
        <f t="shared" si="10"/>
        <v>2680.6330467138696</v>
      </c>
      <c r="U11">
        <v>1396</v>
      </c>
      <c r="V11">
        <f t="shared" si="11"/>
        <v>17380.964178403403</v>
      </c>
      <c r="W11">
        <v>218626.75</v>
      </c>
    </row>
    <row r="12" spans="1:23" x14ac:dyDescent="0.25">
      <c r="A12">
        <v>0.875</v>
      </c>
      <c r="B12">
        <v>0.5</v>
      </c>
      <c r="C12">
        <v>160</v>
      </c>
      <c r="D12">
        <v>150</v>
      </c>
      <c r="E12">
        <v>100</v>
      </c>
      <c r="F12">
        <v>12</v>
      </c>
      <c r="G12">
        <v>0.875</v>
      </c>
      <c r="H12">
        <v>10</v>
      </c>
      <c r="I12">
        <v>0.34999999999999992</v>
      </c>
      <c r="J12">
        <f t="shared" si="0"/>
        <v>36</v>
      </c>
      <c r="K12">
        <f t="shared" si="1"/>
        <v>720</v>
      </c>
      <c r="L12">
        <f t="shared" si="2"/>
        <v>12.553455316455191</v>
      </c>
      <c r="M12">
        <f t="shared" si="3"/>
        <v>50</v>
      </c>
      <c r="N12">
        <f t="shared" si="4"/>
        <v>30.901699437494745</v>
      </c>
      <c r="O12">
        <f t="shared" si="5"/>
        <v>32.520597171365672</v>
      </c>
      <c r="P12">
        <f t="shared" si="6"/>
        <v>40587.806288053333</v>
      </c>
      <c r="Q12">
        <f t="shared" si="7"/>
        <v>15324.003846923741</v>
      </c>
      <c r="R12">
        <f t="shared" si="8"/>
        <v>5600</v>
      </c>
      <c r="S12">
        <f t="shared" si="9"/>
        <v>-2250.1154189321237</v>
      </c>
      <c r="T12">
        <f t="shared" si="10"/>
        <v>3094.1169054087441</v>
      </c>
      <c r="U12">
        <v>1397</v>
      </c>
      <c r="V12">
        <f t="shared" si="11"/>
        <v>18105.798500492849</v>
      </c>
      <c r="W12">
        <v>194972.31700000001</v>
      </c>
    </row>
    <row r="13" spans="1:23" x14ac:dyDescent="0.25">
      <c r="A13">
        <v>0.875</v>
      </c>
      <c r="B13">
        <v>1.25</v>
      </c>
      <c r="C13">
        <v>160</v>
      </c>
      <c r="D13">
        <v>150</v>
      </c>
      <c r="E13">
        <v>80</v>
      </c>
      <c r="F13">
        <v>12</v>
      </c>
      <c r="G13">
        <v>0.875</v>
      </c>
      <c r="H13">
        <v>8</v>
      </c>
      <c r="I13">
        <v>0.34999999999999992</v>
      </c>
      <c r="J13">
        <f t="shared" si="0"/>
        <v>45</v>
      </c>
      <c r="K13">
        <f t="shared" si="1"/>
        <v>900</v>
      </c>
      <c r="L13">
        <f t="shared" si="2"/>
        <v>15.682742452729697</v>
      </c>
      <c r="M13">
        <f t="shared" si="3"/>
        <v>40</v>
      </c>
      <c r="N13">
        <f t="shared" si="4"/>
        <v>30.614674589207176</v>
      </c>
      <c r="O13">
        <f t="shared" si="5"/>
        <v>42.964501752477595</v>
      </c>
      <c r="P13">
        <f t="shared" si="6"/>
        <v>100992.38633586938</v>
      </c>
      <c r="Q13">
        <f t="shared" si="7"/>
        <v>13149.668959909641</v>
      </c>
      <c r="R13">
        <f t="shared" si="8"/>
        <v>5600</v>
      </c>
      <c r="S13">
        <f t="shared" si="9"/>
        <v>-1385.9292911256325</v>
      </c>
      <c r="T13">
        <f t="shared" si="10"/>
        <v>2680.6330467138696</v>
      </c>
      <c r="U13">
        <v>1398</v>
      </c>
      <c r="V13">
        <f t="shared" si="11"/>
        <v>34771.471570588299</v>
      </c>
      <c r="W13">
        <v>94216.160699999993</v>
      </c>
    </row>
    <row r="14" spans="1:23" x14ac:dyDescent="0.25">
      <c r="A14">
        <v>0.875</v>
      </c>
      <c r="B14">
        <v>1.25</v>
      </c>
      <c r="C14">
        <v>160</v>
      </c>
      <c r="D14">
        <v>150</v>
      </c>
      <c r="E14">
        <v>100</v>
      </c>
      <c r="F14">
        <v>12</v>
      </c>
      <c r="G14">
        <v>0.875</v>
      </c>
      <c r="H14">
        <v>10</v>
      </c>
      <c r="I14">
        <v>0.34999999999999992</v>
      </c>
      <c r="J14">
        <f t="shared" si="0"/>
        <v>36</v>
      </c>
      <c r="K14">
        <f t="shared" si="1"/>
        <v>720</v>
      </c>
      <c r="L14">
        <f t="shared" si="2"/>
        <v>12.553455316455191</v>
      </c>
      <c r="M14">
        <f t="shared" si="3"/>
        <v>50</v>
      </c>
      <c r="N14">
        <f t="shared" si="4"/>
        <v>30.901699437494745</v>
      </c>
      <c r="O14">
        <f t="shared" si="5"/>
        <v>32.520597171365672</v>
      </c>
      <c r="P14">
        <f t="shared" si="6"/>
        <v>100992.38633586938</v>
      </c>
      <c r="Q14">
        <f t="shared" si="7"/>
        <v>15324.003846923741</v>
      </c>
      <c r="R14">
        <f t="shared" si="8"/>
        <v>5600</v>
      </c>
      <c r="S14">
        <f t="shared" si="9"/>
        <v>-2250.1154189321237</v>
      </c>
      <c r="T14">
        <f t="shared" si="10"/>
        <v>3094.1169054087441</v>
      </c>
      <c r="U14">
        <v>1399</v>
      </c>
      <c r="V14">
        <f t="shared" si="11"/>
        <v>35261.267234072606</v>
      </c>
      <c r="W14">
        <v>82218.922500000001</v>
      </c>
    </row>
    <row r="15" spans="1:23" x14ac:dyDescent="0.25">
      <c r="A15">
        <v>0.875</v>
      </c>
      <c r="B15">
        <v>0.875</v>
      </c>
      <c r="C15">
        <v>120</v>
      </c>
      <c r="D15">
        <v>150</v>
      </c>
      <c r="E15">
        <v>90</v>
      </c>
      <c r="F15">
        <v>8</v>
      </c>
      <c r="G15">
        <v>0.875</v>
      </c>
      <c r="H15">
        <v>9</v>
      </c>
      <c r="I15">
        <v>0.52499999999999991</v>
      </c>
      <c r="J15">
        <f t="shared" si="0"/>
        <v>40</v>
      </c>
      <c r="K15">
        <f t="shared" si="1"/>
        <v>600</v>
      </c>
      <c r="L15">
        <f t="shared" si="2"/>
        <v>10.45868912971898</v>
      </c>
      <c r="M15">
        <f t="shared" si="3"/>
        <v>45</v>
      </c>
      <c r="N15">
        <f t="shared" si="4"/>
        <v>30.781812899310186</v>
      </c>
      <c r="O15">
        <f t="shared" si="5"/>
        <v>18.286174512787028</v>
      </c>
      <c r="P15">
        <f t="shared" si="6"/>
        <v>51738.987586740732</v>
      </c>
      <c r="Q15">
        <f t="shared" si="7"/>
        <v>7078.3122012677068</v>
      </c>
      <c r="R15">
        <f t="shared" si="8"/>
        <v>3150</v>
      </c>
      <c r="S15">
        <f t="shared" si="9"/>
        <v>-2690.7440865952581</v>
      </c>
      <c r="T15">
        <f t="shared" si="10"/>
        <v>1924.9166507075381</v>
      </c>
      <c r="U15">
        <v>1400</v>
      </c>
      <c r="V15">
        <f t="shared" si="11"/>
        <v>17778.818148002283</v>
      </c>
      <c r="W15">
        <v>127567.022</v>
      </c>
    </row>
    <row r="16" spans="1:23" x14ac:dyDescent="0.25">
      <c r="A16">
        <v>0.875</v>
      </c>
      <c r="B16">
        <v>0.875</v>
      </c>
      <c r="C16">
        <v>120</v>
      </c>
      <c r="D16">
        <v>150</v>
      </c>
      <c r="E16">
        <v>90</v>
      </c>
      <c r="F16">
        <v>16</v>
      </c>
      <c r="G16">
        <v>0.875</v>
      </c>
      <c r="H16">
        <v>9</v>
      </c>
      <c r="I16">
        <v>0.52499999999999991</v>
      </c>
      <c r="J16">
        <f t="shared" si="0"/>
        <v>40</v>
      </c>
      <c r="K16">
        <f t="shared" si="1"/>
        <v>600</v>
      </c>
      <c r="L16">
        <f t="shared" si="2"/>
        <v>10.45868912971898</v>
      </c>
      <c r="M16">
        <f t="shared" si="3"/>
        <v>45</v>
      </c>
      <c r="N16">
        <f t="shared" si="4"/>
        <v>30.781812899310186</v>
      </c>
      <c r="O16">
        <f t="shared" si="5"/>
        <v>18.286174512787028</v>
      </c>
      <c r="P16">
        <f t="shared" si="6"/>
        <v>54358.683160752917</v>
      </c>
      <c r="Q16">
        <f t="shared" si="7"/>
        <v>14156.624402535414</v>
      </c>
      <c r="R16">
        <f t="shared" si="8"/>
        <v>3150</v>
      </c>
      <c r="S16">
        <f t="shared" si="9"/>
        <v>-2690.7440865952581</v>
      </c>
      <c r="T16">
        <f t="shared" si="10"/>
        <v>3849.8333014150762</v>
      </c>
      <c r="U16">
        <v>1401</v>
      </c>
      <c r="V16">
        <f t="shared" si="11"/>
        <v>21080.01268498271</v>
      </c>
      <c r="W16">
        <v>71909.954299999998</v>
      </c>
    </row>
    <row r="17" spans="1:23" x14ac:dyDescent="0.25">
      <c r="A17">
        <v>0.875</v>
      </c>
      <c r="B17">
        <v>0.875</v>
      </c>
      <c r="C17">
        <v>120</v>
      </c>
      <c r="D17">
        <v>150</v>
      </c>
      <c r="E17">
        <v>90</v>
      </c>
      <c r="F17">
        <v>16</v>
      </c>
      <c r="G17">
        <v>0.875</v>
      </c>
      <c r="H17">
        <v>9</v>
      </c>
      <c r="I17">
        <v>0.17499999999999996</v>
      </c>
      <c r="J17">
        <f t="shared" si="0"/>
        <v>40</v>
      </c>
      <c r="K17">
        <f t="shared" si="1"/>
        <v>600</v>
      </c>
      <c r="L17">
        <f t="shared" si="2"/>
        <v>10.45868912971898</v>
      </c>
      <c r="M17">
        <f t="shared" si="3"/>
        <v>45</v>
      </c>
      <c r="N17">
        <f t="shared" si="4"/>
        <v>30.781812899310186</v>
      </c>
      <c r="O17">
        <f t="shared" si="5"/>
        <v>18.286174512787028</v>
      </c>
      <c r="P17">
        <f t="shared" si="6"/>
        <v>54358.683160752917</v>
      </c>
      <c r="Q17">
        <f t="shared" si="7"/>
        <v>14156.624402535414</v>
      </c>
      <c r="R17">
        <f t="shared" si="8"/>
        <v>3150</v>
      </c>
      <c r="S17">
        <f t="shared" si="9"/>
        <v>-896.91469553175261</v>
      </c>
      <c r="T17">
        <f t="shared" si="10"/>
        <v>3849.8333014150762</v>
      </c>
      <c r="U17">
        <v>1402</v>
      </c>
      <c r="V17">
        <f t="shared" si="11"/>
        <v>21589.744232044748</v>
      </c>
      <c r="W17">
        <v>71940.146099999998</v>
      </c>
    </row>
    <row r="18" spans="1:23" x14ac:dyDescent="0.25">
      <c r="A18">
        <v>0.875</v>
      </c>
      <c r="B18">
        <v>0.875</v>
      </c>
      <c r="C18">
        <v>200</v>
      </c>
      <c r="D18">
        <v>150</v>
      </c>
      <c r="E18">
        <v>90</v>
      </c>
      <c r="F18">
        <v>8</v>
      </c>
      <c r="G18">
        <v>0.875</v>
      </c>
      <c r="H18">
        <v>9</v>
      </c>
      <c r="I18">
        <v>0.52499999999999991</v>
      </c>
      <c r="J18">
        <f t="shared" si="0"/>
        <v>40</v>
      </c>
      <c r="K18">
        <f t="shared" si="1"/>
        <v>1000</v>
      </c>
      <c r="L18">
        <f t="shared" si="2"/>
        <v>17.431148549531635</v>
      </c>
      <c r="M18">
        <f t="shared" si="3"/>
        <v>45</v>
      </c>
      <c r="N18">
        <f t="shared" si="4"/>
        <v>30.781812899310186</v>
      </c>
      <c r="O18">
        <f t="shared" si="5"/>
        <v>57.696143196541648</v>
      </c>
      <c r="P18">
        <f t="shared" si="6"/>
        <v>86485.002335443845</v>
      </c>
      <c r="Q18">
        <f t="shared" si="7"/>
        <v>12043.968255420788</v>
      </c>
      <c r="R18">
        <f t="shared" si="8"/>
        <v>8750</v>
      </c>
      <c r="S18">
        <f t="shared" si="9"/>
        <v>-2690.7440865952581</v>
      </c>
      <c r="T18">
        <f t="shared" si="10"/>
        <v>1924.9166507075381</v>
      </c>
      <c r="U18">
        <v>1403</v>
      </c>
      <c r="V18">
        <f t="shared" si="11"/>
        <v>30648.184656013444</v>
      </c>
      <c r="W18">
        <v>191933.17199999999</v>
      </c>
    </row>
    <row r="19" spans="1:23" x14ac:dyDescent="0.25">
      <c r="A19">
        <v>0.875</v>
      </c>
      <c r="B19">
        <v>0.875</v>
      </c>
      <c r="C19">
        <v>200</v>
      </c>
      <c r="D19">
        <v>150</v>
      </c>
      <c r="E19">
        <v>90</v>
      </c>
      <c r="F19">
        <v>8</v>
      </c>
      <c r="G19">
        <v>0.875</v>
      </c>
      <c r="H19">
        <v>9</v>
      </c>
      <c r="I19">
        <v>0.17499999999999996</v>
      </c>
      <c r="J19">
        <f t="shared" si="0"/>
        <v>40</v>
      </c>
      <c r="K19">
        <f t="shared" si="1"/>
        <v>1000</v>
      </c>
      <c r="L19">
        <f t="shared" si="2"/>
        <v>17.431148549531635</v>
      </c>
      <c r="M19">
        <f t="shared" si="3"/>
        <v>45</v>
      </c>
      <c r="N19">
        <f t="shared" si="4"/>
        <v>30.781812899310186</v>
      </c>
      <c r="O19">
        <f t="shared" si="5"/>
        <v>57.696143196541648</v>
      </c>
      <c r="P19">
        <f t="shared" si="6"/>
        <v>86485.002335443845</v>
      </c>
      <c r="Q19">
        <f t="shared" si="7"/>
        <v>12043.968255420788</v>
      </c>
      <c r="R19">
        <f t="shared" si="8"/>
        <v>8750</v>
      </c>
      <c r="S19">
        <f t="shared" si="9"/>
        <v>-896.91469553175261</v>
      </c>
      <c r="T19">
        <f t="shared" si="10"/>
        <v>1924.9166507075381</v>
      </c>
      <c r="U19">
        <v>1404</v>
      </c>
      <c r="V19">
        <f t="shared" si="11"/>
        <v>31157.916203075474</v>
      </c>
      <c r="W19">
        <v>192113.14499999999</v>
      </c>
    </row>
    <row r="20" spans="1:23" x14ac:dyDescent="0.25">
      <c r="A20">
        <v>0.5</v>
      </c>
      <c r="B20">
        <v>0.5</v>
      </c>
      <c r="C20">
        <v>120</v>
      </c>
      <c r="D20">
        <v>150</v>
      </c>
      <c r="E20">
        <v>90</v>
      </c>
      <c r="F20">
        <v>12</v>
      </c>
      <c r="G20">
        <v>0.875</v>
      </c>
      <c r="H20">
        <v>9</v>
      </c>
      <c r="I20">
        <v>0.34999999999999992</v>
      </c>
      <c r="J20">
        <f t="shared" si="0"/>
        <v>40</v>
      </c>
      <c r="K20">
        <f t="shared" si="1"/>
        <v>600</v>
      </c>
      <c r="L20">
        <f t="shared" si="2"/>
        <v>10.45868912971898</v>
      </c>
      <c r="M20">
        <f t="shared" si="3"/>
        <v>45</v>
      </c>
      <c r="N20">
        <f t="shared" si="4"/>
        <v>30.781812899310186</v>
      </c>
      <c r="O20">
        <f t="shared" si="5"/>
        <v>18.286174512787028</v>
      </c>
      <c r="P20">
        <f t="shared" si="6"/>
        <v>30409.046090422402</v>
      </c>
      <c r="Q20">
        <f t="shared" si="7"/>
        <v>10617.468301901561</v>
      </c>
      <c r="R20">
        <f t="shared" si="8"/>
        <v>1800</v>
      </c>
      <c r="S20">
        <f t="shared" si="9"/>
        <v>-1025.045366322003</v>
      </c>
      <c r="T20">
        <f t="shared" si="10"/>
        <v>2887.3749760613073</v>
      </c>
      <c r="U20">
        <v>1405</v>
      </c>
      <c r="V20">
        <f t="shared" si="11"/>
        <v>13090.651696585968</v>
      </c>
      <c r="W20">
        <v>155297.31700000001</v>
      </c>
    </row>
    <row r="21" spans="1:23" x14ac:dyDescent="0.25">
      <c r="A21">
        <v>0.5</v>
      </c>
      <c r="B21">
        <v>0.5</v>
      </c>
      <c r="C21">
        <v>200</v>
      </c>
      <c r="D21">
        <v>150</v>
      </c>
      <c r="E21">
        <v>90</v>
      </c>
      <c r="F21">
        <v>12</v>
      </c>
      <c r="G21">
        <v>0.875</v>
      </c>
      <c r="H21">
        <v>9</v>
      </c>
      <c r="I21">
        <v>0.34999999999999992</v>
      </c>
      <c r="J21">
        <f t="shared" si="0"/>
        <v>40</v>
      </c>
      <c r="K21">
        <f t="shared" si="1"/>
        <v>1000</v>
      </c>
      <c r="L21">
        <f t="shared" si="2"/>
        <v>17.431148549531635</v>
      </c>
      <c r="M21">
        <f t="shared" si="3"/>
        <v>45</v>
      </c>
      <c r="N21">
        <f t="shared" si="4"/>
        <v>30.781812899310186</v>
      </c>
      <c r="O21">
        <f t="shared" si="5"/>
        <v>57.696143196541648</v>
      </c>
      <c r="P21">
        <f t="shared" si="6"/>
        <v>50766.566485684263</v>
      </c>
      <c r="Q21">
        <f t="shared" si="7"/>
        <v>18065.952383131182</v>
      </c>
      <c r="R21">
        <f t="shared" si="8"/>
        <v>5000</v>
      </c>
      <c r="S21">
        <f t="shared" si="9"/>
        <v>-1025.045366322003</v>
      </c>
      <c r="T21">
        <f t="shared" si="10"/>
        <v>2887.3749760613073</v>
      </c>
      <c r="U21">
        <v>1406</v>
      </c>
      <c r="V21">
        <f t="shared" si="11"/>
        <v>21896.640967909545</v>
      </c>
      <c r="W21">
        <v>244973.05900000001</v>
      </c>
    </row>
    <row r="22" spans="1:23" x14ac:dyDescent="0.25">
      <c r="A22">
        <v>0.5</v>
      </c>
      <c r="B22">
        <v>1.25</v>
      </c>
      <c r="C22">
        <v>120</v>
      </c>
      <c r="D22">
        <v>150</v>
      </c>
      <c r="E22">
        <v>90</v>
      </c>
      <c r="F22">
        <v>12</v>
      </c>
      <c r="G22">
        <v>0.875</v>
      </c>
      <c r="H22">
        <v>9</v>
      </c>
      <c r="I22">
        <v>0.34999999999999992</v>
      </c>
      <c r="J22">
        <f t="shared" si="0"/>
        <v>40</v>
      </c>
      <c r="K22">
        <f t="shared" si="1"/>
        <v>600</v>
      </c>
      <c r="L22">
        <f t="shared" si="2"/>
        <v>10.45868912971898</v>
      </c>
      <c r="M22">
        <f t="shared" si="3"/>
        <v>45</v>
      </c>
      <c r="N22">
        <f t="shared" si="4"/>
        <v>30.781812899310186</v>
      </c>
      <c r="O22">
        <f t="shared" si="5"/>
        <v>18.286174512787028</v>
      </c>
      <c r="P22">
        <f t="shared" si="6"/>
        <v>75545.485841792048</v>
      </c>
      <c r="Q22">
        <f t="shared" si="7"/>
        <v>10617.468301901561</v>
      </c>
      <c r="R22">
        <f t="shared" si="8"/>
        <v>1800</v>
      </c>
      <c r="S22">
        <f t="shared" si="9"/>
        <v>-1025.045366322003</v>
      </c>
      <c r="T22">
        <f t="shared" si="10"/>
        <v>2887.3749760613073</v>
      </c>
      <c r="U22">
        <v>1407</v>
      </c>
      <c r="V22">
        <f t="shared" si="11"/>
        <v>25909.968585974944</v>
      </c>
      <c r="W22">
        <v>69474.075299999997</v>
      </c>
    </row>
    <row r="23" spans="1:23" x14ac:dyDescent="0.25">
      <c r="A23">
        <v>0.5</v>
      </c>
      <c r="B23">
        <v>1.25</v>
      </c>
      <c r="C23">
        <v>200</v>
      </c>
      <c r="D23">
        <v>150</v>
      </c>
      <c r="E23">
        <v>90</v>
      </c>
      <c r="F23">
        <v>12</v>
      </c>
      <c r="G23">
        <v>0.875</v>
      </c>
      <c r="H23">
        <v>9</v>
      </c>
      <c r="I23">
        <v>0.34999999999999992</v>
      </c>
      <c r="J23">
        <f t="shared" si="0"/>
        <v>40</v>
      </c>
      <c r="K23">
        <f t="shared" si="1"/>
        <v>1000</v>
      </c>
      <c r="L23">
        <f t="shared" si="2"/>
        <v>17.431148549531635</v>
      </c>
      <c r="M23">
        <f t="shared" si="3"/>
        <v>45</v>
      </c>
      <c r="N23">
        <f t="shared" si="4"/>
        <v>30.781812899310186</v>
      </c>
      <c r="O23">
        <f t="shared" si="5"/>
        <v>57.696143196541648</v>
      </c>
      <c r="P23">
        <f t="shared" si="6"/>
        <v>126439.28682994671</v>
      </c>
      <c r="Q23">
        <f t="shared" si="7"/>
        <v>18065.952383131182</v>
      </c>
      <c r="R23">
        <f t="shared" si="8"/>
        <v>5000</v>
      </c>
      <c r="S23">
        <f t="shared" si="9"/>
        <v>-1025.045366322003</v>
      </c>
      <c r="T23">
        <f t="shared" si="10"/>
        <v>2887.3749760613073</v>
      </c>
      <c r="U23">
        <v>1408</v>
      </c>
      <c r="V23">
        <f t="shared" si="11"/>
        <v>43388.261545680078</v>
      </c>
      <c r="W23">
        <v>99333.567299999995</v>
      </c>
    </row>
    <row r="24" spans="1:23" x14ac:dyDescent="0.25">
      <c r="A24">
        <v>1.25</v>
      </c>
      <c r="B24">
        <v>0.5</v>
      </c>
      <c r="C24">
        <v>120</v>
      </c>
      <c r="D24">
        <v>150</v>
      </c>
      <c r="E24">
        <v>90</v>
      </c>
      <c r="F24">
        <v>12</v>
      </c>
      <c r="G24">
        <v>0.875</v>
      </c>
      <c r="H24">
        <v>9</v>
      </c>
      <c r="I24">
        <v>0.34999999999999992</v>
      </c>
      <c r="J24">
        <f t="shared" si="0"/>
        <v>40</v>
      </c>
      <c r="K24">
        <f t="shared" si="1"/>
        <v>600</v>
      </c>
      <c r="L24">
        <f t="shared" si="2"/>
        <v>10.45868912971898</v>
      </c>
      <c r="M24">
        <f t="shared" si="3"/>
        <v>45</v>
      </c>
      <c r="N24">
        <f t="shared" si="4"/>
        <v>30.781812899310186</v>
      </c>
      <c r="O24">
        <f t="shared" si="5"/>
        <v>18.286174512787028</v>
      </c>
      <c r="P24">
        <f t="shared" si="6"/>
        <v>30409.046090422402</v>
      </c>
      <c r="Q24">
        <f t="shared" si="7"/>
        <v>10617.468301901561</v>
      </c>
      <c r="R24">
        <f t="shared" si="8"/>
        <v>4500</v>
      </c>
      <c r="S24">
        <f t="shared" si="9"/>
        <v>-2562.6134158050072</v>
      </c>
      <c r="T24">
        <f t="shared" si="10"/>
        <v>2887.3749760613073</v>
      </c>
      <c r="U24">
        <v>1409</v>
      </c>
      <c r="V24">
        <f t="shared" si="11"/>
        <v>13421.918370532792</v>
      </c>
      <c r="W24">
        <v>142827.83600000001</v>
      </c>
    </row>
    <row r="25" spans="1:23" x14ac:dyDescent="0.25">
      <c r="A25">
        <v>1.25</v>
      </c>
      <c r="B25">
        <v>0.5</v>
      </c>
      <c r="C25">
        <v>200</v>
      </c>
      <c r="D25">
        <v>150</v>
      </c>
      <c r="E25">
        <v>90</v>
      </c>
      <c r="F25">
        <v>12</v>
      </c>
      <c r="G25">
        <v>0.875</v>
      </c>
      <c r="H25">
        <v>9</v>
      </c>
      <c r="I25">
        <v>0.34999999999999992</v>
      </c>
      <c r="J25">
        <f t="shared" si="0"/>
        <v>40</v>
      </c>
      <c r="K25">
        <f t="shared" si="1"/>
        <v>1000</v>
      </c>
      <c r="L25">
        <f t="shared" si="2"/>
        <v>17.431148549531635</v>
      </c>
      <c r="M25">
        <f t="shared" si="3"/>
        <v>45</v>
      </c>
      <c r="N25">
        <f t="shared" si="4"/>
        <v>30.781812899310186</v>
      </c>
      <c r="O25">
        <f t="shared" si="5"/>
        <v>57.696143196541648</v>
      </c>
      <c r="P25">
        <f t="shared" si="6"/>
        <v>50766.566485684263</v>
      </c>
      <c r="Q25">
        <f t="shared" si="7"/>
        <v>18065.952383131182</v>
      </c>
      <c r="R25">
        <f t="shared" si="8"/>
        <v>12500</v>
      </c>
      <c r="S25">
        <f t="shared" si="9"/>
        <v>-2562.6134158050072</v>
      </c>
      <c r="T25">
        <f t="shared" si="10"/>
        <v>2887.3749760613073</v>
      </c>
      <c r="U25">
        <v>1410</v>
      </c>
      <c r="V25">
        <f t="shared" si="11"/>
        <v>23591.107641856375</v>
      </c>
      <c r="W25">
        <v>231562.503</v>
      </c>
    </row>
    <row r="26" spans="1:23" x14ac:dyDescent="0.25">
      <c r="A26">
        <v>1.25</v>
      </c>
      <c r="B26">
        <v>1.25</v>
      </c>
      <c r="C26">
        <v>120</v>
      </c>
      <c r="D26">
        <v>150</v>
      </c>
      <c r="E26">
        <v>90</v>
      </c>
      <c r="F26">
        <v>12</v>
      </c>
      <c r="G26">
        <v>0.875</v>
      </c>
      <c r="H26">
        <v>9</v>
      </c>
      <c r="I26">
        <v>0.34999999999999992</v>
      </c>
      <c r="J26">
        <f t="shared" si="0"/>
        <v>40</v>
      </c>
      <c r="K26">
        <f t="shared" si="1"/>
        <v>600</v>
      </c>
      <c r="L26">
        <f t="shared" si="2"/>
        <v>10.45868912971898</v>
      </c>
      <c r="M26">
        <f t="shared" si="3"/>
        <v>45</v>
      </c>
      <c r="N26">
        <f t="shared" si="4"/>
        <v>30.781812899310186</v>
      </c>
      <c r="O26">
        <f t="shared" si="5"/>
        <v>18.286174512787028</v>
      </c>
      <c r="P26">
        <f t="shared" si="6"/>
        <v>75545.485841792048</v>
      </c>
      <c r="Q26">
        <f t="shared" si="7"/>
        <v>10617.468301901561</v>
      </c>
      <c r="R26">
        <f t="shared" si="8"/>
        <v>4500</v>
      </c>
      <c r="S26">
        <f t="shared" si="9"/>
        <v>-2562.6134158050072</v>
      </c>
      <c r="T26">
        <f t="shared" si="10"/>
        <v>2887.3749760613073</v>
      </c>
      <c r="U26">
        <v>1411</v>
      </c>
      <c r="V26">
        <f t="shared" si="11"/>
        <v>26241.235259921774</v>
      </c>
      <c r="W26">
        <v>62363.390800000001</v>
      </c>
    </row>
    <row r="27" spans="1:23" x14ac:dyDescent="0.25">
      <c r="A27">
        <v>1.25</v>
      </c>
      <c r="B27">
        <v>1.25</v>
      </c>
      <c r="C27">
        <v>200</v>
      </c>
      <c r="D27">
        <v>150</v>
      </c>
      <c r="E27">
        <v>90</v>
      </c>
      <c r="F27">
        <v>12</v>
      </c>
      <c r="G27">
        <v>0.875</v>
      </c>
      <c r="H27">
        <v>9</v>
      </c>
      <c r="I27">
        <v>0.34999999999999992</v>
      </c>
      <c r="J27">
        <f t="shared" si="0"/>
        <v>40</v>
      </c>
      <c r="K27">
        <f t="shared" si="1"/>
        <v>1000</v>
      </c>
      <c r="L27">
        <f t="shared" si="2"/>
        <v>17.431148549531635</v>
      </c>
      <c r="M27">
        <f t="shared" si="3"/>
        <v>45</v>
      </c>
      <c r="N27">
        <f t="shared" si="4"/>
        <v>30.781812899310186</v>
      </c>
      <c r="O27">
        <f t="shared" si="5"/>
        <v>57.696143196541648</v>
      </c>
      <c r="P27">
        <f t="shared" si="6"/>
        <v>126439.28682994671</v>
      </c>
      <c r="Q27">
        <f t="shared" si="7"/>
        <v>18065.952383131182</v>
      </c>
      <c r="R27">
        <f t="shared" si="8"/>
        <v>12500</v>
      </c>
      <c r="S27">
        <f t="shared" si="9"/>
        <v>-2562.6134158050072</v>
      </c>
      <c r="T27">
        <f t="shared" si="10"/>
        <v>2887.3749760613073</v>
      </c>
      <c r="U27">
        <v>1412</v>
      </c>
      <c r="V27">
        <f t="shared" si="11"/>
        <v>45082.728219626901</v>
      </c>
      <c r="W27">
        <v>93002.637499999997</v>
      </c>
    </row>
    <row r="28" spans="1:23" x14ac:dyDescent="0.25">
      <c r="A28">
        <v>0.875</v>
      </c>
      <c r="B28">
        <v>0.875</v>
      </c>
      <c r="C28">
        <v>160</v>
      </c>
      <c r="D28">
        <v>100</v>
      </c>
      <c r="E28">
        <v>80</v>
      </c>
      <c r="F28">
        <v>8</v>
      </c>
      <c r="G28">
        <v>0.875</v>
      </c>
      <c r="H28">
        <v>9</v>
      </c>
      <c r="I28">
        <v>0.34999999999999992</v>
      </c>
      <c r="J28">
        <f t="shared" si="0"/>
        <v>40</v>
      </c>
      <c r="K28">
        <f t="shared" si="1"/>
        <v>800</v>
      </c>
      <c r="L28">
        <f t="shared" si="2"/>
        <v>13.944918839625306</v>
      </c>
      <c r="M28">
        <f t="shared" si="3"/>
        <v>40</v>
      </c>
      <c r="N28">
        <f t="shared" si="4"/>
        <v>27.361611466053496</v>
      </c>
      <c r="O28">
        <f t="shared" si="5"/>
        <v>42.361076018483487</v>
      </c>
      <c r="P28">
        <f t="shared" si="6"/>
        <v>47241.110479733965</v>
      </c>
      <c r="Q28">
        <f t="shared" si="7"/>
        <v>9581.2771006902894</v>
      </c>
      <c r="R28">
        <f t="shared" si="8"/>
        <v>5600</v>
      </c>
      <c r="S28">
        <f t="shared" si="9"/>
        <v>-1417.3466793588186</v>
      </c>
      <c r="T28">
        <f t="shared" si="10"/>
        <v>1924.9166507075381</v>
      </c>
      <c r="U28">
        <v>1413</v>
      </c>
      <c r="V28">
        <f t="shared" si="11"/>
        <v>18273.399944703524</v>
      </c>
      <c r="W28">
        <v>156732.75</v>
      </c>
    </row>
    <row r="29" spans="1:23" x14ac:dyDescent="0.25">
      <c r="A29">
        <v>0.875</v>
      </c>
      <c r="B29">
        <v>0.875</v>
      </c>
      <c r="C29">
        <v>160</v>
      </c>
      <c r="D29">
        <v>100</v>
      </c>
      <c r="E29">
        <v>80</v>
      </c>
      <c r="F29">
        <v>16</v>
      </c>
      <c r="G29">
        <v>0.875</v>
      </c>
      <c r="H29">
        <v>9</v>
      </c>
      <c r="I29">
        <v>0.34999999999999992</v>
      </c>
      <c r="J29">
        <f t="shared" si="0"/>
        <v>40</v>
      </c>
      <c r="K29">
        <f t="shared" si="1"/>
        <v>800</v>
      </c>
      <c r="L29">
        <f t="shared" si="2"/>
        <v>13.944918839625306</v>
      </c>
      <c r="M29">
        <f t="shared" si="3"/>
        <v>40</v>
      </c>
      <c r="N29">
        <f t="shared" si="4"/>
        <v>27.361611466053496</v>
      </c>
      <c r="O29">
        <f t="shared" si="5"/>
        <v>42.361076018483487</v>
      </c>
      <c r="P29">
        <f t="shared" si="6"/>
        <v>50740.451996751297</v>
      </c>
      <c r="Q29">
        <f t="shared" si="7"/>
        <v>19162.554201380579</v>
      </c>
      <c r="R29">
        <f t="shared" si="8"/>
        <v>5600</v>
      </c>
      <c r="S29">
        <f t="shared" si="9"/>
        <v>-1417.3466793588186</v>
      </c>
      <c r="T29">
        <f t="shared" si="10"/>
        <v>3849.8333014150762</v>
      </c>
      <c r="U29">
        <v>1414</v>
      </c>
      <c r="V29">
        <f t="shared" si="11"/>
        <v>22535.255960933431</v>
      </c>
      <c r="W29">
        <v>108904.198</v>
      </c>
    </row>
    <row r="30" spans="1:23" x14ac:dyDescent="0.25">
      <c r="A30">
        <v>0.875</v>
      </c>
      <c r="B30">
        <v>0.875</v>
      </c>
      <c r="C30">
        <v>160</v>
      </c>
      <c r="D30">
        <v>100</v>
      </c>
      <c r="E30">
        <v>100</v>
      </c>
      <c r="F30">
        <v>8</v>
      </c>
      <c r="G30">
        <v>0.875</v>
      </c>
      <c r="H30">
        <v>9</v>
      </c>
      <c r="I30">
        <v>0.34999999999999992</v>
      </c>
      <c r="J30">
        <f t="shared" si="0"/>
        <v>40</v>
      </c>
      <c r="K30">
        <f t="shared" si="1"/>
        <v>800</v>
      </c>
      <c r="L30">
        <f t="shared" si="2"/>
        <v>13.944918839625306</v>
      </c>
      <c r="M30">
        <f t="shared" si="3"/>
        <v>50</v>
      </c>
      <c r="N30">
        <f t="shared" si="4"/>
        <v>34.202014332566868</v>
      </c>
      <c r="O30">
        <f t="shared" si="5"/>
        <v>33.082635346110756</v>
      </c>
      <c r="P30">
        <f t="shared" si="6"/>
        <v>47241.110479733965</v>
      </c>
      <c r="Q30">
        <f t="shared" si="7"/>
        <v>9473.1389565616664</v>
      </c>
      <c r="R30">
        <f t="shared" si="8"/>
        <v>5600</v>
      </c>
      <c r="S30">
        <f t="shared" si="9"/>
        <v>-2214.6041864981539</v>
      </c>
      <c r="T30">
        <f t="shared" si="10"/>
        <v>1924.9166507075381</v>
      </c>
      <c r="U30">
        <v>1415</v>
      </c>
      <c r="V30">
        <f t="shared" si="11"/>
        <v>18016.835579743423</v>
      </c>
      <c r="W30">
        <v>156789.40599999999</v>
      </c>
    </row>
    <row r="31" spans="1:23" x14ac:dyDescent="0.25">
      <c r="A31">
        <v>0.875</v>
      </c>
      <c r="B31">
        <v>0.875</v>
      </c>
      <c r="C31">
        <v>160</v>
      </c>
      <c r="D31">
        <v>100</v>
      </c>
      <c r="E31">
        <v>100</v>
      </c>
      <c r="F31">
        <v>16</v>
      </c>
      <c r="G31">
        <v>0.875</v>
      </c>
      <c r="H31">
        <v>9</v>
      </c>
      <c r="I31">
        <v>0.34999999999999992</v>
      </c>
      <c r="J31">
        <f t="shared" si="0"/>
        <v>40</v>
      </c>
      <c r="K31">
        <f t="shared" si="1"/>
        <v>800</v>
      </c>
      <c r="L31">
        <f t="shared" si="2"/>
        <v>13.944918839625306</v>
      </c>
      <c r="M31">
        <f t="shared" si="3"/>
        <v>50</v>
      </c>
      <c r="N31">
        <f t="shared" si="4"/>
        <v>34.202014332566868</v>
      </c>
      <c r="O31">
        <f t="shared" si="5"/>
        <v>33.082635346110756</v>
      </c>
      <c r="P31">
        <f t="shared" si="6"/>
        <v>50740.451996751297</v>
      </c>
      <c r="Q31">
        <f t="shared" si="7"/>
        <v>18946.277913123333</v>
      </c>
      <c r="R31">
        <f t="shared" si="8"/>
        <v>5600</v>
      </c>
      <c r="S31">
        <f t="shared" si="9"/>
        <v>-2214.6041864981539</v>
      </c>
      <c r="T31">
        <f t="shared" si="10"/>
        <v>3849.8333014150762</v>
      </c>
      <c r="U31">
        <v>1416</v>
      </c>
      <c r="V31">
        <f t="shared" si="11"/>
        <v>22247.980363040799</v>
      </c>
      <c r="W31">
        <v>100901.1</v>
      </c>
    </row>
    <row r="32" spans="1:23" x14ac:dyDescent="0.25">
      <c r="A32">
        <v>0.875</v>
      </c>
      <c r="B32">
        <v>0.875</v>
      </c>
      <c r="C32">
        <v>160</v>
      </c>
      <c r="D32">
        <v>200</v>
      </c>
      <c r="E32">
        <v>80</v>
      </c>
      <c r="F32">
        <v>8</v>
      </c>
      <c r="G32">
        <v>0.875</v>
      </c>
      <c r="H32">
        <v>9</v>
      </c>
      <c r="I32">
        <v>0.34999999999999992</v>
      </c>
      <c r="J32">
        <f t="shared" si="0"/>
        <v>40</v>
      </c>
      <c r="K32">
        <f t="shared" si="1"/>
        <v>800</v>
      </c>
      <c r="L32">
        <f t="shared" si="2"/>
        <v>13.944918839625306</v>
      </c>
      <c r="M32">
        <f t="shared" si="3"/>
        <v>40</v>
      </c>
      <c r="N32">
        <f t="shared" si="4"/>
        <v>27.361611466053496</v>
      </c>
      <c r="O32">
        <f t="shared" si="5"/>
        <v>42.361076018483487</v>
      </c>
      <c r="P32">
        <f t="shared" si="6"/>
        <v>90982.879442450605</v>
      </c>
      <c r="Q32">
        <f t="shared" si="7"/>
        <v>9581.2771006902894</v>
      </c>
      <c r="R32">
        <f t="shared" si="8"/>
        <v>5600</v>
      </c>
      <c r="S32">
        <f t="shared" si="9"/>
        <v>-1417.3466793588186</v>
      </c>
      <c r="T32">
        <f t="shared" si="10"/>
        <v>1924.9166507075381</v>
      </c>
      <c r="U32">
        <v>1417</v>
      </c>
      <c r="V32">
        <f t="shared" si="11"/>
        <v>30697.19833011505</v>
      </c>
      <c r="W32">
        <v>186310.05799999999</v>
      </c>
    </row>
    <row r="33" spans="1:23" x14ac:dyDescent="0.25">
      <c r="A33">
        <v>0.875</v>
      </c>
      <c r="B33">
        <v>0.875</v>
      </c>
      <c r="C33">
        <v>160</v>
      </c>
      <c r="D33">
        <v>200</v>
      </c>
      <c r="E33">
        <v>80</v>
      </c>
      <c r="F33">
        <v>16</v>
      </c>
      <c r="G33">
        <v>0.875</v>
      </c>
      <c r="H33">
        <v>9</v>
      </c>
      <c r="I33">
        <v>0.34999999999999992</v>
      </c>
      <c r="J33">
        <f t="shared" si="0"/>
        <v>40</v>
      </c>
      <c r="K33">
        <f t="shared" si="1"/>
        <v>800</v>
      </c>
      <c r="L33">
        <f t="shared" si="2"/>
        <v>13.944918839625306</v>
      </c>
      <c r="M33">
        <f t="shared" si="3"/>
        <v>40</v>
      </c>
      <c r="N33">
        <f t="shared" si="4"/>
        <v>27.361611466053496</v>
      </c>
      <c r="O33">
        <f t="shared" si="5"/>
        <v>42.361076018483487</v>
      </c>
      <c r="P33">
        <f t="shared" si="6"/>
        <v>94482.22095946793</v>
      </c>
      <c r="Q33">
        <f t="shared" si="7"/>
        <v>19162.554201380579</v>
      </c>
      <c r="R33">
        <f t="shared" si="8"/>
        <v>5600</v>
      </c>
      <c r="S33">
        <f t="shared" si="9"/>
        <v>-1417.3466793588186</v>
      </c>
      <c r="T33">
        <f t="shared" si="10"/>
        <v>3849.8333014150762</v>
      </c>
      <c r="U33">
        <v>1418</v>
      </c>
      <c r="V33">
        <f t="shared" si="11"/>
        <v>34959.05434634495</v>
      </c>
      <c r="W33">
        <v>100660.444</v>
      </c>
    </row>
    <row r="34" spans="1:23" x14ac:dyDescent="0.25">
      <c r="A34">
        <v>0.875</v>
      </c>
      <c r="B34">
        <v>0.875</v>
      </c>
      <c r="C34">
        <v>160</v>
      </c>
      <c r="D34">
        <v>200</v>
      </c>
      <c r="E34">
        <v>100</v>
      </c>
      <c r="F34">
        <v>8</v>
      </c>
      <c r="G34">
        <v>0.875</v>
      </c>
      <c r="H34">
        <v>9</v>
      </c>
      <c r="I34">
        <v>0.34999999999999992</v>
      </c>
      <c r="J34">
        <f t="shared" si="0"/>
        <v>40</v>
      </c>
      <c r="K34">
        <f t="shared" si="1"/>
        <v>800</v>
      </c>
      <c r="L34">
        <f t="shared" si="2"/>
        <v>13.944918839625306</v>
      </c>
      <c r="M34">
        <f t="shared" si="3"/>
        <v>50</v>
      </c>
      <c r="N34">
        <f t="shared" si="4"/>
        <v>34.202014332566868</v>
      </c>
      <c r="O34">
        <f t="shared" si="5"/>
        <v>33.082635346110756</v>
      </c>
      <c r="P34">
        <f t="shared" si="6"/>
        <v>90982.879442450605</v>
      </c>
      <c r="Q34">
        <f t="shared" si="7"/>
        <v>9473.1389565616664</v>
      </c>
      <c r="R34">
        <f t="shared" si="8"/>
        <v>5600</v>
      </c>
      <c r="S34">
        <f t="shared" si="9"/>
        <v>-2214.6041864981539</v>
      </c>
      <c r="T34">
        <f t="shared" si="10"/>
        <v>1924.9166507075381</v>
      </c>
      <c r="U34">
        <v>1419</v>
      </c>
      <c r="V34">
        <f t="shared" si="11"/>
        <v>30440.633965154946</v>
      </c>
      <c r="W34">
        <v>177781.91</v>
      </c>
    </row>
    <row r="35" spans="1:23" x14ac:dyDescent="0.25">
      <c r="A35">
        <v>0.875</v>
      </c>
      <c r="B35">
        <v>0.875</v>
      </c>
      <c r="C35">
        <v>160</v>
      </c>
      <c r="D35">
        <v>200</v>
      </c>
      <c r="E35">
        <v>100</v>
      </c>
      <c r="F35">
        <v>16</v>
      </c>
      <c r="G35">
        <v>0.875</v>
      </c>
      <c r="H35">
        <v>9</v>
      </c>
      <c r="I35">
        <v>0.34999999999999992</v>
      </c>
      <c r="J35">
        <f t="shared" si="0"/>
        <v>40</v>
      </c>
      <c r="K35">
        <f t="shared" si="1"/>
        <v>800</v>
      </c>
      <c r="L35">
        <f t="shared" si="2"/>
        <v>13.944918839625306</v>
      </c>
      <c r="M35">
        <f t="shared" si="3"/>
        <v>50</v>
      </c>
      <c r="N35">
        <f t="shared" si="4"/>
        <v>34.202014332566868</v>
      </c>
      <c r="O35">
        <f t="shared" si="5"/>
        <v>33.082635346110756</v>
      </c>
      <c r="P35">
        <f t="shared" si="6"/>
        <v>94482.22095946793</v>
      </c>
      <c r="Q35">
        <f t="shared" si="7"/>
        <v>18946.277913123333</v>
      </c>
      <c r="R35">
        <f t="shared" si="8"/>
        <v>5600</v>
      </c>
      <c r="S35">
        <f t="shared" si="9"/>
        <v>-2214.6041864981539</v>
      </c>
      <c r="T35">
        <f t="shared" si="10"/>
        <v>3849.8333014150762</v>
      </c>
      <c r="U35">
        <v>1420</v>
      </c>
      <c r="V35">
        <f t="shared" si="11"/>
        <v>34671.778748452321</v>
      </c>
      <c r="W35">
        <v>96246.702699999994</v>
      </c>
    </row>
    <row r="36" spans="1:23" x14ac:dyDescent="0.25">
      <c r="A36">
        <v>0.875</v>
      </c>
      <c r="B36">
        <v>0.875</v>
      </c>
      <c r="C36">
        <v>160</v>
      </c>
      <c r="D36">
        <v>150</v>
      </c>
      <c r="E36">
        <v>90</v>
      </c>
      <c r="F36">
        <v>12</v>
      </c>
      <c r="G36">
        <v>0.5</v>
      </c>
      <c r="H36">
        <v>8</v>
      </c>
      <c r="I36">
        <v>0.52499999999999991</v>
      </c>
      <c r="J36">
        <f t="shared" si="0"/>
        <v>45</v>
      </c>
      <c r="K36">
        <f t="shared" si="1"/>
        <v>900</v>
      </c>
      <c r="L36">
        <f t="shared" si="2"/>
        <v>15.682742452729697</v>
      </c>
      <c r="M36">
        <f t="shared" si="3"/>
        <v>45</v>
      </c>
      <c r="N36">
        <f t="shared" si="4"/>
        <v>34.441508912858076</v>
      </c>
      <c r="O36">
        <f t="shared" si="5"/>
        <v>38.352945269413802</v>
      </c>
      <c r="P36">
        <f t="shared" si="6"/>
        <v>70861.665719600947</v>
      </c>
      <c r="Q36">
        <f t="shared" si="7"/>
        <v>7495.0751736809116</v>
      </c>
      <c r="R36">
        <f t="shared" si="8"/>
        <v>5600</v>
      </c>
      <c r="S36">
        <f t="shared" si="9"/>
        <v>-2631.1001386213184</v>
      </c>
      <c r="T36">
        <f t="shared" si="10"/>
        <v>2680.6330467138696</v>
      </c>
      <c r="U36">
        <v>1421</v>
      </c>
      <c r="V36">
        <f t="shared" si="11"/>
        <v>24261.345759590331</v>
      </c>
      <c r="W36">
        <v>190078.03400000001</v>
      </c>
    </row>
    <row r="37" spans="1:23" x14ac:dyDescent="0.25">
      <c r="A37">
        <v>0.875</v>
      </c>
      <c r="B37">
        <v>0.875</v>
      </c>
      <c r="C37">
        <v>160</v>
      </c>
      <c r="D37">
        <v>150</v>
      </c>
      <c r="E37">
        <v>90</v>
      </c>
      <c r="F37">
        <v>12</v>
      </c>
      <c r="G37">
        <v>0.5</v>
      </c>
      <c r="H37">
        <v>8</v>
      </c>
      <c r="I37">
        <v>0.17499999999999996</v>
      </c>
      <c r="J37">
        <f t="shared" si="0"/>
        <v>45</v>
      </c>
      <c r="K37">
        <f t="shared" si="1"/>
        <v>900</v>
      </c>
      <c r="L37">
        <f t="shared" si="2"/>
        <v>15.682742452729697</v>
      </c>
      <c r="M37">
        <f t="shared" si="3"/>
        <v>45</v>
      </c>
      <c r="N37">
        <f t="shared" si="4"/>
        <v>34.441508912858076</v>
      </c>
      <c r="O37">
        <f t="shared" si="5"/>
        <v>38.352945269413802</v>
      </c>
      <c r="P37">
        <f t="shared" si="6"/>
        <v>70861.665719600947</v>
      </c>
      <c r="Q37">
        <f t="shared" si="7"/>
        <v>7495.0751736809116</v>
      </c>
      <c r="R37">
        <f t="shared" si="8"/>
        <v>5600</v>
      </c>
      <c r="S37">
        <f t="shared" si="9"/>
        <v>-877.03337954043946</v>
      </c>
      <c r="T37">
        <f t="shared" si="10"/>
        <v>2680.6330467138696</v>
      </c>
      <c r="U37">
        <v>1422</v>
      </c>
      <c r="V37">
        <f t="shared" si="11"/>
        <v>24759.784719169296</v>
      </c>
      <c r="W37">
        <v>190091.93400000001</v>
      </c>
    </row>
    <row r="38" spans="1:23" x14ac:dyDescent="0.25">
      <c r="A38">
        <v>0.875</v>
      </c>
      <c r="B38">
        <v>0.875</v>
      </c>
      <c r="C38">
        <v>160</v>
      </c>
      <c r="D38">
        <v>150</v>
      </c>
      <c r="E38">
        <v>90</v>
      </c>
      <c r="F38">
        <v>12</v>
      </c>
      <c r="G38">
        <v>0.5</v>
      </c>
      <c r="H38">
        <v>10</v>
      </c>
      <c r="I38">
        <v>0.52499999999999991</v>
      </c>
      <c r="J38">
        <f t="shared" si="0"/>
        <v>36</v>
      </c>
      <c r="K38">
        <f t="shared" si="1"/>
        <v>720</v>
      </c>
      <c r="L38">
        <f t="shared" si="2"/>
        <v>12.553455316455191</v>
      </c>
      <c r="M38">
        <f t="shared" si="3"/>
        <v>45</v>
      </c>
      <c r="N38">
        <f t="shared" si="4"/>
        <v>27.811529493745269</v>
      </c>
      <c r="O38">
        <f t="shared" si="5"/>
        <v>37.183184914450742</v>
      </c>
      <c r="P38">
        <f t="shared" si="6"/>
        <v>70861.665719600947</v>
      </c>
      <c r="Q38">
        <f t="shared" si="7"/>
        <v>8830.6739593588027</v>
      </c>
      <c r="R38">
        <f t="shared" si="8"/>
        <v>5600</v>
      </c>
      <c r="S38">
        <f t="shared" si="9"/>
        <v>-2733.8902340025297</v>
      </c>
      <c r="T38">
        <f t="shared" si="10"/>
        <v>3094.1169054087441</v>
      </c>
      <c r="U38">
        <v>1423</v>
      </c>
      <c r="V38">
        <f t="shared" si="11"/>
        <v>24729.46084350393</v>
      </c>
      <c r="W38">
        <v>172635.42800000001</v>
      </c>
    </row>
    <row r="39" spans="1:23" x14ac:dyDescent="0.25">
      <c r="A39">
        <v>0.875</v>
      </c>
      <c r="B39">
        <v>0.875</v>
      </c>
      <c r="C39">
        <v>160</v>
      </c>
      <c r="D39">
        <v>150</v>
      </c>
      <c r="E39">
        <v>90</v>
      </c>
      <c r="F39">
        <v>12</v>
      </c>
      <c r="G39">
        <v>0.5</v>
      </c>
      <c r="H39">
        <v>10</v>
      </c>
      <c r="I39">
        <v>0.17499999999999996</v>
      </c>
      <c r="J39">
        <f t="shared" si="0"/>
        <v>36</v>
      </c>
      <c r="K39">
        <f t="shared" si="1"/>
        <v>720</v>
      </c>
      <c r="L39">
        <f t="shared" si="2"/>
        <v>12.553455316455191</v>
      </c>
      <c r="M39">
        <f t="shared" si="3"/>
        <v>45</v>
      </c>
      <c r="N39">
        <f t="shared" si="4"/>
        <v>27.811529493745269</v>
      </c>
      <c r="O39">
        <f t="shared" si="5"/>
        <v>37.183184914450742</v>
      </c>
      <c r="P39">
        <f t="shared" si="6"/>
        <v>70861.665719600947</v>
      </c>
      <c r="Q39">
        <f t="shared" si="7"/>
        <v>8830.6739593588027</v>
      </c>
      <c r="R39">
        <f t="shared" si="8"/>
        <v>5600</v>
      </c>
      <c r="S39">
        <f t="shared" si="9"/>
        <v>-911.29674466750987</v>
      </c>
      <c r="T39">
        <f t="shared" si="10"/>
        <v>3094.1169054087441</v>
      </c>
      <c r="U39">
        <v>1424</v>
      </c>
      <c r="V39">
        <f t="shared" si="11"/>
        <v>25247.361394475076</v>
      </c>
      <c r="W39">
        <v>172566.18599999999</v>
      </c>
    </row>
    <row r="40" spans="1:23" x14ac:dyDescent="0.25">
      <c r="A40">
        <v>0.875</v>
      </c>
      <c r="B40">
        <v>0.875</v>
      </c>
      <c r="C40">
        <v>160</v>
      </c>
      <c r="D40">
        <v>150</v>
      </c>
      <c r="E40">
        <v>90</v>
      </c>
      <c r="F40">
        <v>12</v>
      </c>
      <c r="G40">
        <v>1.25</v>
      </c>
      <c r="H40">
        <v>8</v>
      </c>
      <c r="I40">
        <v>0.52499999999999991</v>
      </c>
      <c r="J40">
        <f t="shared" si="0"/>
        <v>45</v>
      </c>
      <c r="K40">
        <f t="shared" si="1"/>
        <v>900</v>
      </c>
      <c r="L40">
        <f t="shared" si="2"/>
        <v>15.682742452729697</v>
      </c>
      <c r="M40">
        <f t="shared" si="3"/>
        <v>45</v>
      </c>
      <c r="N40">
        <f t="shared" si="4"/>
        <v>34.441508912858076</v>
      </c>
      <c r="O40">
        <f t="shared" si="5"/>
        <v>38.352945269413802</v>
      </c>
      <c r="P40">
        <f t="shared" si="6"/>
        <v>70861.665719600947</v>
      </c>
      <c r="Q40">
        <f t="shared" si="7"/>
        <v>18737.68793420228</v>
      </c>
      <c r="R40">
        <f t="shared" si="8"/>
        <v>5600</v>
      </c>
      <c r="S40">
        <f t="shared" si="9"/>
        <v>-2631.1001386213184</v>
      </c>
      <c r="T40">
        <f t="shared" si="10"/>
        <v>2680.6330467138696</v>
      </c>
      <c r="U40">
        <v>1425</v>
      </c>
      <c r="V40">
        <f t="shared" si="11"/>
        <v>27455.3837835784</v>
      </c>
      <c r="W40">
        <v>104946.99400000001</v>
      </c>
    </row>
    <row r="41" spans="1:23" x14ac:dyDescent="0.25">
      <c r="A41">
        <v>0.875</v>
      </c>
      <c r="B41">
        <v>0.875</v>
      </c>
      <c r="C41">
        <v>160</v>
      </c>
      <c r="D41">
        <v>150</v>
      </c>
      <c r="E41">
        <v>90</v>
      </c>
      <c r="F41">
        <v>12</v>
      </c>
      <c r="G41">
        <v>1.25</v>
      </c>
      <c r="H41">
        <v>8</v>
      </c>
      <c r="I41">
        <v>0.17499999999999996</v>
      </c>
      <c r="J41">
        <f t="shared" si="0"/>
        <v>45</v>
      </c>
      <c r="K41">
        <f t="shared" si="1"/>
        <v>900</v>
      </c>
      <c r="L41">
        <f t="shared" si="2"/>
        <v>15.682742452729697</v>
      </c>
      <c r="M41">
        <f t="shared" si="3"/>
        <v>45</v>
      </c>
      <c r="N41">
        <f t="shared" si="4"/>
        <v>34.441508912858076</v>
      </c>
      <c r="O41">
        <f t="shared" si="5"/>
        <v>38.352945269413802</v>
      </c>
      <c r="P41">
        <f t="shared" si="6"/>
        <v>70861.665719600947</v>
      </c>
      <c r="Q41">
        <f t="shared" si="7"/>
        <v>18737.68793420228</v>
      </c>
      <c r="R41">
        <f t="shared" si="8"/>
        <v>5600</v>
      </c>
      <c r="S41">
        <f t="shared" si="9"/>
        <v>-877.03337954043946</v>
      </c>
      <c r="T41">
        <f t="shared" si="10"/>
        <v>2680.6330467138696</v>
      </c>
      <c r="U41">
        <v>1426</v>
      </c>
      <c r="V41">
        <f t="shared" si="11"/>
        <v>27953.822743157372</v>
      </c>
      <c r="W41">
        <v>104948.628</v>
      </c>
    </row>
    <row r="42" spans="1:23" x14ac:dyDescent="0.25">
      <c r="A42">
        <v>0.5</v>
      </c>
      <c r="B42">
        <v>0.875</v>
      </c>
      <c r="C42">
        <v>160</v>
      </c>
      <c r="D42">
        <v>150</v>
      </c>
      <c r="E42">
        <v>80</v>
      </c>
      <c r="F42">
        <v>12</v>
      </c>
      <c r="G42">
        <v>0.875</v>
      </c>
      <c r="H42">
        <v>9</v>
      </c>
      <c r="I42">
        <v>0.52499999999999991</v>
      </c>
      <c r="J42">
        <f t="shared" si="0"/>
        <v>40</v>
      </c>
      <c r="K42">
        <f t="shared" si="1"/>
        <v>800</v>
      </c>
      <c r="L42">
        <f t="shared" si="2"/>
        <v>13.944918839625306</v>
      </c>
      <c r="M42">
        <f t="shared" si="3"/>
        <v>40</v>
      </c>
      <c r="N42">
        <f t="shared" si="4"/>
        <v>27.361611466053496</v>
      </c>
      <c r="O42">
        <f t="shared" si="5"/>
        <v>42.361076018483487</v>
      </c>
      <c r="P42">
        <f t="shared" si="6"/>
        <v>70861.665719600947</v>
      </c>
      <c r="Q42">
        <f t="shared" si="7"/>
        <v>14371.915651035433</v>
      </c>
      <c r="R42">
        <f t="shared" si="8"/>
        <v>3200</v>
      </c>
      <c r="S42">
        <f t="shared" si="9"/>
        <v>-1214.8685823075589</v>
      </c>
      <c r="T42">
        <f t="shared" si="10"/>
        <v>2887.3749760613073</v>
      </c>
      <c r="U42">
        <v>1427</v>
      </c>
      <c r="V42">
        <f t="shared" si="11"/>
        <v>25995.396925086796</v>
      </c>
      <c r="W42">
        <v>128586.959</v>
      </c>
    </row>
    <row r="43" spans="1:23" x14ac:dyDescent="0.25">
      <c r="A43">
        <v>0.5</v>
      </c>
      <c r="B43">
        <v>0.875</v>
      </c>
      <c r="C43">
        <v>160</v>
      </c>
      <c r="D43">
        <v>150</v>
      </c>
      <c r="E43">
        <v>100</v>
      </c>
      <c r="F43">
        <v>12</v>
      </c>
      <c r="G43">
        <v>0.875</v>
      </c>
      <c r="H43">
        <v>9</v>
      </c>
      <c r="I43">
        <v>0.52499999999999991</v>
      </c>
      <c r="J43">
        <f t="shared" si="0"/>
        <v>40</v>
      </c>
      <c r="K43">
        <f t="shared" si="1"/>
        <v>800</v>
      </c>
      <c r="L43">
        <f t="shared" si="2"/>
        <v>13.944918839625306</v>
      </c>
      <c r="M43">
        <f t="shared" si="3"/>
        <v>50</v>
      </c>
      <c r="N43">
        <f t="shared" si="4"/>
        <v>34.202014332566868</v>
      </c>
      <c r="O43">
        <f t="shared" si="5"/>
        <v>33.082635346110756</v>
      </c>
      <c r="P43">
        <f t="shared" si="6"/>
        <v>70861.665719600947</v>
      </c>
      <c r="Q43">
        <f t="shared" si="7"/>
        <v>14209.7084348425</v>
      </c>
      <c r="R43">
        <f t="shared" si="8"/>
        <v>3200</v>
      </c>
      <c r="S43">
        <f t="shared" si="9"/>
        <v>-1898.2321598555609</v>
      </c>
      <c r="T43">
        <f t="shared" si="10"/>
        <v>2887.3749760613073</v>
      </c>
      <c r="U43">
        <v>1428</v>
      </c>
      <c r="V43">
        <f t="shared" si="11"/>
        <v>25755.538819664365</v>
      </c>
      <c r="W43">
        <v>125941.489</v>
      </c>
    </row>
    <row r="44" spans="1:23" x14ac:dyDescent="0.25">
      <c r="A44">
        <v>0.5</v>
      </c>
      <c r="B44">
        <v>0.875</v>
      </c>
      <c r="C44">
        <v>160</v>
      </c>
      <c r="D44">
        <v>150</v>
      </c>
      <c r="E44">
        <v>100</v>
      </c>
      <c r="F44">
        <v>12</v>
      </c>
      <c r="G44">
        <v>0.875</v>
      </c>
      <c r="H44">
        <v>9</v>
      </c>
      <c r="I44">
        <v>0.17499999999999996</v>
      </c>
      <c r="J44">
        <f t="shared" si="0"/>
        <v>40</v>
      </c>
      <c r="K44">
        <f t="shared" si="1"/>
        <v>800</v>
      </c>
      <c r="L44">
        <f t="shared" si="2"/>
        <v>13.944918839625306</v>
      </c>
      <c r="M44">
        <f t="shared" si="3"/>
        <v>50</v>
      </c>
      <c r="N44">
        <f t="shared" si="4"/>
        <v>34.202014332566868</v>
      </c>
      <c r="O44">
        <f t="shared" si="5"/>
        <v>33.082635346110756</v>
      </c>
      <c r="P44">
        <f t="shared" si="6"/>
        <v>70861.665719600947</v>
      </c>
      <c r="Q44">
        <f t="shared" si="7"/>
        <v>14209.7084348425</v>
      </c>
      <c r="R44">
        <f t="shared" si="8"/>
        <v>3200</v>
      </c>
      <c r="S44">
        <f t="shared" si="9"/>
        <v>-632.74405328518685</v>
      </c>
      <c r="T44">
        <f t="shared" si="10"/>
        <v>2887.3749760613073</v>
      </c>
      <c r="U44">
        <v>1429</v>
      </c>
      <c r="V44">
        <f t="shared" si="11"/>
        <v>26115.221441930356</v>
      </c>
      <c r="W44">
        <v>125939.66899999999</v>
      </c>
    </row>
    <row r="45" spans="1:23" x14ac:dyDescent="0.25">
      <c r="A45">
        <v>1.25</v>
      </c>
      <c r="B45">
        <v>0.875</v>
      </c>
      <c r="C45">
        <v>160</v>
      </c>
      <c r="D45">
        <v>150</v>
      </c>
      <c r="E45">
        <v>80</v>
      </c>
      <c r="F45">
        <v>12</v>
      </c>
      <c r="G45">
        <v>0.875</v>
      </c>
      <c r="H45">
        <v>9</v>
      </c>
      <c r="I45">
        <v>0.52499999999999991</v>
      </c>
      <c r="J45">
        <f t="shared" si="0"/>
        <v>40</v>
      </c>
      <c r="K45">
        <f t="shared" si="1"/>
        <v>800</v>
      </c>
      <c r="L45">
        <f t="shared" si="2"/>
        <v>13.944918839625306</v>
      </c>
      <c r="M45">
        <f t="shared" si="3"/>
        <v>40</v>
      </c>
      <c r="N45">
        <f t="shared" si="4"/>
        <v>27.361611466053496</v>
      </c>
      <c r="O45">
        <f t="shared" si="5"/>
        <v>42.361076018483487</v>
      </c>
      <c r="P45">
        <f t="shared" si="6"/>
        <v>70861.665719600947</v>
      </c>
      <c r="Q45">
        <f t="shared" si="7"/>
        <v>14371.915651035433</v>
      </c>
      <c r="R45">
        <f t="shared" si="8"/>
        <v>8000</v>
      </c>
      <c r="S45">
        <f t="shared" si="9"/>
        <v>-3037.171455768897</v>
      </c>
      <c r="T45">
        <f t="shared" si="10"/>
        <v>2887.3749760613073</v>
      </c>
      <c r="U45">
        <v>1430</v>
      </c>
      <c r="V45">
        <f t="shared" si="11"/>
        <v>26841.914909023777</v>
      </c>
      <c r="W45">
        <v>119363.417</v>
      </c>
    </row>
    <row r="46" spans="1:23" x14ac:dyDescent="0.25">
      <c r="A46">
        <v>1.25</v>
      </c>
      <c r="B46">
        <v>0.875</v>
      </c>
      <c r="C46">
        <v>160</v>
      </c>
      <c r="D46">
        <v>150</v>
      </c>
      <c r="E46">
        <v>100</v>
      </c>
      <c r="F46">
        <v>12</v>
      </c>
      <c r="G46">
        <v>0.875</v>
      </c>
      <c r="H46">
        <v>9</v>
      </c>
      <c r="I46">
        <v>0.52499999999999991</v>
      </c>
      <c r="J46">
        <f t="shared" si="0"/>
        <v>40</v>
      </c>
      <c r="K46">
        <f t="shared" si="1"/>
        <v>800</v>
      </c>
      <c r="L46">
        <f t="shared" si="2"/>
        <v>13.944918839625306</v>
      </c>
      <c r="M46">
        <f t="shared" si="3"/>
        <v>50</v>
      </c>
      <c r="N46">
        <f t="shared" si="4"/>
        <v>34.202014332566868</v>
      </c>
      <c r="O46">
        <f t="shared" si="5"/>
        <v>33.082635346110756</v>
      </c>
      <c r="P46">
        <f t="shared" si="6"/>
        <v>70861.665719600947</v>
      </c>
      <c r="Q46">
        <f t="shared" si="7"/>
        <v>14209.7084348425</v>
      </c>
      <c r="R46">
        <f t="shared" si="8"/>
        <v>8000</v>
      </c>
      <c r="S46">
        <f t="shared" si="9"/>
        <v>-4745.5803996389022</v>
      </c>
      <c r="T46">
        <f t="shared" si="10"/>
        <v>2887.3749760613073</v>
      </c>
      <c r="U46">
        <v>1431</v>
      </c>
      <c r="V46">
        <f t="shared" si="11"/>
        <v>26310.943919565896</v>
      </c>
      <c r="W46">
        <v>118497.23</v>
      </c>
    </row>
    <row r="47" spans="1:23" x14ac:dyDescent="0.25">
      <c r="A47">
        <v>1.25</v>
      </c>
      <c r="B47">
        <v>0.875</v>
      </c>
      <c r="C47">
        <v>160</v>
      </c>
      <c r="D47">
        <v>150</v>
      </c>
      <c r="E47">
        <v>100</v>
      </c>
      <c r="F47">
        <v>12</v>
      </c>
      <c r="G47">
        <v>0.875</v>
      </c>
      <c r="H47">
        <v>9</v>
      </c>
      <c r="I47">
        <v>0.17499999999999996</v>
      </c>
      <c r="J47">
        <f t="shared" si="0"/>
        <v>40</v>
      </c>
      <c r="K47">
        <f t="shared" si="1"/>
        <v>800</v>
      </c>
      <c r="L47">
        <f t="shared" si="2"/>
        <v>13.944918839625306</v>
      </c>
      <c r="M47">
        <f t="shared" si="3"/>
        <v>50</v>
      </c>
      <c r="N47">
        <f t="shared" si="4"/>
        <v>34.202014332566868</v>
      </c>
      <c r="O47">
        <f t="shared" si="5"/>
        <v>33.082635346110756</v>
      </c>
      <c r="P47">
        <f t="shared" si="6"/>
        <v>70861.665719600947</v>
      </c>
      <c r="Q47">
        <f t="shared" si="7"/>
        <v>14209.7084348425</v>
      </c>
      <c r="R47">
        <f t="shared" si="8"/>
        <v>8000</v>
      </c>
      <c r="S47">
        <f t="shared" si="9"/>
        <v>-1581.8601332129674</v>
      </c>
      <c r="T47">
        <f t="shared" si="10"/>
        <v>2887.3749760613073</v>
      </c>
      <c r="U47">
        <v>1432</v>
      </c>
      <c r="V47">
        <f t="shared" si="11"/>
        <v>27209.724475230869</v>
      </c>
      <c r="W47">
        <v>118489.086</v>
      </c>
    </row>
    <row r="48" spans="1:23" x14ac:dyDescent="0.25">
      <c r="A48">
        <v>0.875</v>
      </c>
      <c r="B48">
        <v>0.875</v>
      </c>
      <c r="C48">
        <v>120</v>
      </c>
      <c r="D48">
        <v>100</v>
      </c>
      <c r="E48">
        <v>90</v>
      </c>
      <c r="F48">
        <v>12</v>
      </c>
      <c r="G48">
        <v>0.875</v>
      </c>
      <c r="H48">
        <v>8</v>
      </c>
      <c r="I48">
        <v>0.34999999999999992</v>
      </c>
      <c r="J48">
        <f t="shared" si="0"/>
        <v>45</v>
      </c>
      <c r="K48">
        <f t="shared" si="1"/>
        <v>675</v>
      </c>
      <c r="L48">
        <f t="shared" si="2"/>
        <v>11.762056839547272</v>
      </c>
      <c r="M48">
        <f t="shared" si="3"/>
        <v>45</v>
      </c>
      <c r="N48">
        <f t="shared" si="4"/>
        <v>34.441508912858076</v>
      </c>
      <c r="O48">
        <f t="shared" si="5"/>
        <v>19.061636369859244</v>
      </c>
      <c r="P48">
        <f t="shared" si="6"/>
        <v>36675.738036170646</v>
      </c>
      <c r="Q48">
        <f t="shared" si="7"/>
        <v>9875.4416588164313</v>
      </c>
      <c r="R48">
        <f t="shared" si="8"/>
        <v>3150</v>
      </c>
      <c r="S48">
        <f t="shared" si="9"/>
        <v>-1754.0667590808789</v>
      </c>
      <c r="T48">
        <f t="shared" si="10"/>
        <v>2680.6330467138696</v>
      </c>
      <c r="U48">
        <v>1433</v>
      </c>
      <c r="V48">
        <f t="shared" si="11"/>
        <v>14785.251859064098</v>
      </c>
      <c r="W48">
        <v>97270.410799999998</v>
      </c>
    </row>
    <row r="49" spans="1:23" x14ac:dyDescent="0.25">
      <c r="A49">
        <v>0.875</v>
      </c>
      <c r="B49">
        <v>0.875</v>
      </c>
      <c r="C49">
        <v>120</v>
      </c>
      <c r="D49">
        <v>100</v>
      </c>
      <c r="E49">
        <v>90</v>
      </c>
      <c r="F49">
        <v>12</v>
      </c>
      <c r="G49">
        <v>0.875</v>
      </c>
      <c r="H49">
        <v>10</v>
      </c>
      <c r="I49">
        <v>0.34999999999999992</v>
      </c>
      <c r="J49">
        <f t="shared" si="0"/>
        <v>36</v>
      </c>
      <c r="K49">
        <f t="shared" si="1"/>
        <v>540</v>
      </c>
      <c r="L49">
        <f t="shared" si="2"/>
        <v>9.4150914873413925</v>
      </c>
      <c r="M49">
        <f t="shared" si="3"/>
        <v>45</v>
      </c>
      <c r="N49">
        <f t="shared" si="4"/>
        <v>27.811529493745269</v>
      </c>
      <c r="O49">
        <f t="shared" si="5"/>
        <v>17.7099957005926</v>
      </c>
      <c r="P49">
        <f t="shared" si="6"/>
        <v>36675.738036170646</v>
      </c>
      <c r="Q49">
        <f t="shared" si="7"/>
        <v>11364.309693967698</v>
      </c>
      <c r="R49">
        <f t="shared" si="8"/>
        <v>3150</v>
      </c>
      <c r="S49">
        <f t="shared" si="9"/>
        <v>-1822.5934893350197</v>
      </c>
      <c r="T49">
        <f t="shared" si="10"/>
        <v>3094.1169054087441</v>
      </c>
      <c r="U49">
        <v>1434</v>
      </c>
      <c r="V49">
        <f t="shared" si="11"/>
        <v>15306.342205524226</v>
      </c>
      <c r="W49">
        <v>85314.105500000005</v>
      </c>
    </row>
    <row r="50" spans="1:23" x14ac:dyDescent="0.25">
      <c r="A50">
        <v>0.875</v>
      </c>
      <c r="B50">
        <v>0.875</v>
      </c>
      <c r="C50">
        <v>120</v>
      </c>
      <c r="D50">
        <v>200</v>
      </c>
      <c r="E50">
        <v>90</v>
      </c>
      <c r="F50">
        <v>12</v>
      </c>
      <c r="G50">
        <v>0.875</v>
      </c>
      <c r="H50">
        <v>8</v>
      </c>
      <c r="I50">
        <v>0.34999999999999992</v>
      </c>
      <c r="J50">
        <f t="shared" si="0"/>
        <v>45</v>
      </c>
      <c r="K50">
        <f t="shared" si="1"/>
        <v>675</v>
      </c>
      <c r="L50">
        <f t="shared" si="2"/>
        <v>11.762056839547272</v>
      </c>
      <c r="M50">
        <f t="shared" si="3"/>
        <v>45</v>
      </c>
      <c r="N50">
        <f t="shared" si="4"/>
        <v>34.441508912858076</v>
      </c>
      <c r="O50">
        <f t="shared" si="5"/>
        <v>19.061636369859244</v>
      </c>
      <c r="P50">
        <f t="shared" si="6"/>
        <v>69421.93271132301</v>
      </c>
      <c r="Q50">
        <f t="shared" si="7"/>
        <v>9875.4416588164313</v>
      </c>
      <c r="R50">
        <f t="shared" si="8"/>
        <v>3150</v>
      </c>
      <c r="S50">
        <f t="shared" si="9"/>
        <v>-1754.0667590808789</v>
      </c>
      <c r="T50">
        <f t="shared" si="10"/>
        <v>2680.6330467138696</v>
      </c>
      <c r="U50">
        <v>1435</v>
      </c>
      <c r="V50">
        <f t="shared" si="11"/>
        <v>24085.739146807369</v>
      </c>
      <c r="W50">
        <v>97236.772200000007</v>
      </c>
    </row>
    <row r="51" spans="1:23" x14ac:dyDescent="0.25">
      <c r="A51">
        <v>0.875</v>
      </c>
      <c r="B51">
        <v>0.875</v>
      </c>
      <c r="C51">
        <v>120</v>
      </c>
      <c r="D51">
        <v>200</v>
      </c>
      <c r="E51">
        <v>90</v>
      </c>
      <c r="F51">
        <v>12</v>
      </c>
      <c r="G51">
        <v>0.875</v>
      </c>
      <c r="H51">
        <v>10</v>
      </c>
      <c r="I51">
        <v>0.34999999999999992</v>
      </c>
      <c r="J51">
        <f t="shared" si="0"/>
        <v>36</v>
      </c>
      <c r="K51">
        <f t="shared" si="1"/>
        <v>540</v>
      </c>
      <c r="L51">
        <f t="shared" si="2"/>
        <v>9.4150914873413925</v>
      </c>
      <c r="M51">
        <f t="shared" si="3"/>
        <v>45</v>
      </c>
      <c r="N51">
        <f t="shared" si="4"/>
        <v>27.811529493745269</v>
      </c>
      <c r="O51">
        <f t="shared" si="5"/>
        <v>17.7099957005926</v>
      </c>
      <c r="P51">
        <f t="shared" si="6"/>
        <v>69421.93271132301</v>
      </c>
      <c r="Q51">
        <f t="shared" si="7"/>
        <v>11364.309693967698</v>
      </c>
      <c r="R51">
        <f t="shared" si="8"/>
        <v>3150</v>
      </c>
      <c r="S51">
        <f t="shared" si="9"/>
        <v>-1822.5934893350197</v>
      </c>
      <c r="T51">
        <f t="shared" si="10"/>
        <v>3094.1169054087441</v>
      </c>
      <c r="U51">
        <v>1436</v>
      </c>
      <c r="V51">
        <f t="shared" si="11"/>
        <v>24606.829493267498</v>
      </c>
      <c r="W51">
        <v>84473.543000000005</v>
      </c>
    </row>
    <row r="52" spans="1:23" x14ac:dyDescent="0.25">
      <c r="A52">
        <v>0.875</v>
      </c>
      <c r="B52">
        <v>0.875</v>
      </c>
      <c r="C52">
        <v>200</v>
      </c>
      <c r="D52">
        <v>100</v>
      </c>
      <c r="E52">
        <v>90</v>
      </c>
      <c r="F52">
        <v>12</v>
      </c>
      <c r="G52">
        <v>0.875</v>
      </c>
      <c r="H52">
        <v>8</v>
      </c>
      <c r="I52">
        <v>0.34999999999999992</v>
      </c>
      <c r="J52">
        <f t="shared" si="0"/>
        <v>45</v>
      </c>
      <c r="K52">
        <f t="shared" si="1"/>
        <v>1125</v>
      </c>
      <c r="L52">
        <f t="shared" si="2"/>
        <v>19.603428065912119</v>
      </c>
      <c r="M52">
        <f t="shared" si="3"/>
        <v>45</v>
      </c>
      <c r="N52">
        <f t="shared" si="4"/>
        <v>34.441508912858076</v>
      </c>
      <c r="O52">
        <f t="shared" si="5"/>
        <v>58.389163309088367</v>
      </c>
      <c r="P52">
        <f t="shared" si="6"/>
        <v>61305.824440314624</v>
      </c>
      <c r="Q52">
        <f t="shared" si="7"/>
        <v>16482.466184606921</v>
      </c>
      <c r="R52">
        <f t="shared" si="8"/>
        <v>8750</v>
      </c>
      <c r="S52">
        <f t="shared" si="9"/>
        <v>-1754.0667590808789</v>
      </c>
      <c r="T52">
        <f t="shared" si="10"/>
        <v>2680.6330467138696</v>
      </c>
      <c r="U52">
        <v>1437</v>
      </c>
      <c r="V52">
        <f t="shared" si="11"/>
        <v>25248.127363165484</v>
      </c>
      <c r="W52">
        <v>146952.88800000001</v>
      </c>
    </row>
    <row r="53" spans="1:23" x14ac:dyDescent="0.25">
      <c r="A53">
        <v>0.875</v>
      </c>
      <c r="B53">
        <v>0.875</v>
      </c>
      <c r="C53">
        <v>200</v>
      </c>
      <c r="D53">
        <v>100</v>
      </c>
      <c r="E53">
        <v>90</v>
      </c>
      <c r="F53">
        <v>12</v>
      </c>
      <c r="G53">
        <v>0.875</v>
      </c>
      <c r="H53">
        <v>10</v>
      </c>
      <c r="I53">
        <v>0.34999999999999992</v>
      </c>
      <c r="J53">
        <f t="shared" si="0"/>
        <v>36</v>
      </c>
      <c r="K53">
        <f t="shared" si="1"/>
        <v>900</v>
      </c>
      <c r="L53">
        <f t="shared" si="2"/>
        <v>15.691819145568989</v>
      </c>
      <c r="M53">
        <f t="shared" si="3"/>
        <v>45</v>
      </c>
      <c r="N53">
        <f t="shared" si="4"/>
        <v>27.811529493745269</v>
      </c>
      <c r="O53">
        <f t="shared" si="5"/>
        <v>57.194695454187404</v>
      </c>
      <c r="P53">
        <f t="shared" si="6"/>
        <v>61305.824440314624</v>
      </c>
      <c r="Q53">
        <f t="shared" si="7"/>
        <v>19656.096642222608</v>
      </c>
      <c r="R53">
        <f t="shared" si="8"/>
        <v>8750</v>
      </c>
      <c r="S53">
        <f t="shared" si="9"/>
        <v>-1822.5934893350197</v>
      </c>
      <c r="T53">
        <f t="shared" si="10"/>
        <v>3094.1169054087441</v>
      </c>
      <c r="U53">
        <v>1438</v>
      </c>
      <c r="V53">
        <f t="shared" si="11"/>
        <v>26247.690237605511</v>
      </c>
      <c r="W53">
        <v>148162.29399999999</v>
      </c>
    </row>
    <row r="54" spans="1:23" x14ac:dyDescent="0.25">
      <c r="A54">
        <v>0.875</v>
      </c>
      <c r="B54">
        <v>0.875</v>
      </c>
      <c r="C54">
        <v>200</v>
      </c>
      <c r="D54">
        <v>200</v>
      </c>
      <c r="E54">
        <v>90</v>
      </c>
      <c r="F54">
        <v>12</v>
      </c>
      <c r="G54">
        <v>0.875</v>
      </c>
      <c r="H54">
        <v>8</v>
      </c>
      <c r="I54">
        <v>0.34999999999999992</v>
      </c>
      <c r="J54">
        <f t="shared" si="0"/>
        <v>45</v>
      </c>
      <c r="K54">
        <f t="shared" si="1"/>
        <v>1125</v>
      </c>
      <c r="L54">
        <f t="shared" si="2"/>
        <v>19.603428065912119</v>
      </c>
      <c r="M54">
        <f t="shared" si="3"/>
        <v>45</v>
      </c>
      <c r="N54">
        <f t="shared" si="4"/>
        <v>34.441508912858076</v>
      </c>
      <c r="O54">
        <f t="shared" si="5"/>
        <v>58.389163309088367</v>
      </c>
      <c r="P54">
        <f t="shared" si="6"/>
        <v>116043.16769059554</v>
      </c>
      <c r="Q54">
        <f t="shared" si="7"/>
        <v>16482.466184606921</v>
      </c>
      <c r="R54">
        <f t="shared" si="8"/>
        <v>8750</v>
      </c>
      <c r="S54">
        <f t="shared" si="9"/>
        <v>-1754.0667590808789</v>
      </c>
      <c r="T54">
        <f t="shared" si="10"/>
        <v>2680.6330467138696</v>
      </c>
      <c r="U54">
        <v>1439</v>
      </c>
      <c r="V54">
        <f t="shared" si="11"/>
        <v>40794.100846245266</v>
      </c>
      <c r="W54">
        <v>163986.571</v>
      </c>
    </row>
    <row r="55" spans="1:23" x14ac:dyDescent="0.25">
      <c r="A55">
        <v>0.875</v>
      </c>
      <c r="B55">
        <v>0.875</v>
      </c>
      <c r="C55">
        <v>200</v>
      </c>
      <c r="D55">
        <v>200</v>
      </c>
      <c r="E55">
        <v>90</v>
      </c>
      <c r="F55">
        <v>12</v>
      </c>
      <c r="G55">
        <v>0.875</v>
      </c>
      <c r="H55">
        <v>10</v>
      </c>
      <c r="I55">
        <v>0.34999999999999992</v>
      </c>
      <c r="J55">
        <f t="shared" si="0"/>
        <v>36</v>
      </c>
      <c r="K55">
        <f t="shared" si="1"/>
        <v>900</v>
      </c>
      <c r="L55">
        <f t="shared" si="2"/>
        <v>15.691819145568989</v>
      </c>
      <c r="M55">
        <f t="shared" si="3"/>
        <v>45</v>
      </c>
      <c r="N55">
        <f t="shared" si="4"/>
        <v>27.811529493745269</v>
      </c>
      <c r="O55">
        <f t="shared" si="5"/>
        <v>57.194695454187404</v>
      </c>
      <c r="P55">
        <f t="shared" si="6"/>
        <v>116043.16769059554</v>
      </c>
      <c r="Q55">
        <f t="shared" si="7"/>
        <v>19656.096642222608</v>
      </c>
      <c r="R55">
        <f t="shared" si="8"/>
        <v>8750</v>
      </c>
      <c r="S55">
        <f t="shared" si="9"/>
        <v>-1822.5934893350197</v>
      </c>
      <c r="T55">
        <f t="shared" si="10"/>
        <v>3094.1169054087441</v>
      </c>
      <c r="U55">
        <v>1440</v>
      </c>
      <c r="V55">
        <f t="shared" si="11"/>
        <v>41793.663720685283</v>
      </c>
      <c r="W55">
        <v>138056.951</v>
      </c>
    </row>
    <row r="56" spans="1:23" x14ac:dyDescent="0.25">
      <c r="A56">
        <v>0.875</v>
      </c>
      <c r="B56">
        <v>0.5</v>
      </c>
      <c r="C56">
        <v>160</v>
      </c>
      <c r="D56">
        <v>150</v>
      </c>
      <c r="E56">
        <v>90</v>
      </c>
      <c r="F56">
        <v>8</v>
      </c>
      <c r="G56">
        <v>0.5</v>
      </c>
      <c r="H56">
        <v>9</v>
      </c>
      <c r="I56">
        <v>0.34999999999999992</v>
      </c>
      <c r="J56">
        <f t="shared" si="0"/>
        <v>40</v>
      </c>
      <c r="K56">
        <f t="shared" si="1"/>
        <v>800</v>
      </c>
      <c r="L56">
        <f t="shared" si="2"/>
        <v>13.944918839625306</v>
      </c>
      <c r="M56">
        <f t="shared" si="3"/>
        <v>45</v>
      </c>
      <c r="N56">
        <f t="shared" si="4"/>
        <v>30.781812899310186</v>
      </c>
      <c r="O56">
        <f t="shared" si="5"/>
        <v>37.675731730700825</v>
      </c>
      <c r="P56">
        <f t="shared" si="6"/>
        <v>39585.638231558187</v>
      </c>
      <c r="Q56">
        <f t="shared" si="7"/>
        <v>5440.7979489856252</v>
      </c>
      <c r="R56">
        <f t="shared" si="8"/>
        <v>5600</v>
      </c>
      <c r="S56">
        <f t="shared" si="9"/>
        <v>-1793.8293910635052</v>
      </c>
      <c r="T56">
        <f t="shared" si="10"/>
        <v>1924.9166507075381</v>
      </c>
      <c r="U56">
        <v>1441</v>
      </c>
      <c r="V56">
        <f t="shared" si="11"/>
        <v>14824.380657013346</v>
      </c>
      <c r="W56">
        <v>423669.891</v>
      </c>
    </row>
    <row r="57" spans="1:23" x14ac:dyDescent="0.25">
      <c r="A57">
        <v>0.875</v>
      </c>
      <c r="B57">
        <v>0.5</v>
      </c>
      <c r="C57">
        <v>160</v>
      </c>
      <c r="D57">
        <v>150</v>
      </c>
      <c r="E57">
        <v>90</v>
      </c>
      <c r="F57">
        <v>16</v>
      </c>
      <c r="G57">
        <v>0.5</v>
      </c>
      <c r="H57">
        <v>9</v>
      </c>
      <c r="I57">
        <v>0.34999999999999992</v>
      </c>
      <c r="J57">
        <f t="shared" si="0"/>
        <v>40</v>
      </c>
      <c r="K57">
        <f t="shared" si="1"/>
        <v>800</v>
      </c>
      <c r="L57">
        <f t="shared" si="2"/>
        <v>13.944918839625306</v>
      </c>
      <c r="M57">
        <f t="shared" si="3"/>
        <v>45</v>
      </c>
      <c r="N57">
        <f t="shared" si="4"/>
        <v>30.781812899310186</v>
      </c>
      <c r="O57">
        <f t="shared" si="5"/>
        <v>37.675731730700825</v>
      </c>
      <c r="P57">
        <f t="shared" si="6"/>
        <v>41589.974344548478</v>
      </c>
      <c r="Q57">
        <f t="shared" si="7"/>
        <v>10881.59589797125</v>
      </c>
      <c r="R57">
        <f t="shared" si="8"/>
        <v>5600</v>
      </c>
      <c r="S57">
        <f t="shared" si="9"/>
        <v>-1793.8293910635052</v>
      </c>
      <c r="T57">
        <f t="shared" si="10"/>
        <v>3849.8333014150762</v>
      </c>
      <c r="U57">
        <v>1442</v>
      </c>
      <c r="V57">
        <f t="shared" si="11"/>
        <v>17485.759059415446</v>
      </c>
      <c r="W57">
        <v>226446.46299999999</v>
      </c>
    </row>
    <row r="58" spans="1:23" x14ac:dyDescent="0.25">
      <c r="A58">
        <v>0.875</v>
      </c>
      <c r="B58">
        <v>1.25</v>
      </c>
      <c r="C58">
        <v>160</v>
      </c>
      <c r="D58">
        <v>150</v>
      </c>
      <c r="E58">
        <v>90</v>
      </c>
      <c r="F58">
        <v>8</v>
      </c>
      <c r="G58">
        <v>0.5</v>
      </c>
      <c r="H58">
        <v>9</v>
      </c>
      <c r="I58">
        <v>0.34999999999999992</v>
      </c>
      <c r="J58">
        <f t="shared" si="0"/>
        <v>40</v>
      </c>
      <c r="K58">
        <f t="shared" si="1"/>
        <v>800</v>
      </c>
      <c r="L58">
        <f t="shared" si="2"/>
        <v>13.944918839625306</v>
      </c>
      <c r="M58">
        <f t="shared" si="3"/>
        <v>45</v>
      </c>
      <c r="N58">
        <f t="shared" si="4"/>
        <v>30.781812899310186</v>
      </c>
      <c r="O58">
        <f t="shared" si="5"/>
        <v>37.675731730700825</v>
      </c>
      <c r="P58">
        <f t="shared" si="6"/>
        <v>98498.747167082474</v>
      </c>
      <c r="Q58">
        <f t="shared" si="7"/>
        <v>5440.7979489856252</v>
      </c>
      <c r="R58">
        <f t="shared" si="8"/>
        <v>5600</v>
      </c>
      <c r="S58">
        <f t="shared" si="9"/>
        <v>-1793.8293910635052</v>
      </c>
      <c r="T58">
        <f t="shared" si="10"/>
        <v>1924.9166507075381</v>
      </c>
      <c r="U58">
        <v>1443</v>
      </c>
      <c r="V58">
        <f t="shared" si="11"/>
        <v>31556.271594702241</v>
      </c>
      <c r="W58">
        <v>176806.82</v>
      </c>
    </row>
    <row r="59" spans="1:23" x14ac:dyDescent="0.25">
      <c r="A59">
        <v>0.875</v>
      </c>
      <c r="B59">
        <v>1.25</v>
      </c>
      <c r="C59">
        <v>160</v>
      </c>
      <c r="D59">
        <v>150</v>
      </c>
      <c r="E59">
        <v>90</v>
      </c>
      <c r="F59">
        <v>16</v>
      </c>
      <c r="G59">
        <v>0.5</v>
      </c>
      <c r="H59">
        <v>9</v>
      </c>
      <c r="I59">
        <v>0.34999999999999992</v>
      </c>
      <c r="J59">
        <f t="shared" si="0"/>
        <v>40</v>
      </c>
      <c r="K59">
        <f t="shared" si="1"/>
        <v>800</v>
      </c>
      <c r="L59">
        <f t="shared" si="2"/>
        <v>13.944918839625306</v>
      </c>
      <c r="M59">
        <f t="shared" si="3"/>
        <v>45</v>
      </c>
      <c r="N59">
        <f t="shared" si="4"/>
        <v>30.781812899310186</v>
      </c>
      <c r="O59">
        <f t="shared" si="5"/>
        <v>37.675731730700825</v>
      </c>
      <c r="P59">
        <f t="shared" si="6"/>
        <v>103486.02550465627</v>
      </c>
      <c r="Q59">
        <f t="shared" si="7"/>
        <v>10881.59589797125</v>
      </c>
      <c r="R59">
        <f t="shared" si="8"/>
        <v>5600</v>
      </c>
      <c r="S59">
        <f t="shared" si="9"/>
        <v>-1793.8293910635052</v>
      </c>
      <c r="T59">
        <f t="shared" si="10"/>
        <v>3849.8333014150762</v>
      </c>
      <c r="U59">
        <v>1444</v>
      </c>
      <c r="V59">
        <f t="shared" si="11"/>
        <v>35064.805588886054</v>
      </c>
      <c r="W59">
        <v>101168.69100000001</v>
      </c>
    </row>
    <row r="60" spans="1:23" x14ac:dyDescent="0.25">
      <c r="A60">
        <v>0.5</v>
      </c>
      <c r="B60">
        <v>0.875</v>
      </c>
      <c r="C60">
        <v>160</v>
      </c>
      <c r="D60">
        <v>150</v>
      </c>
      <c r="E60">
        <v>90</v>
      </c>
      <c r="F60">
        <v>8</v>
      </c>
      <c r="G60">
        <v>0.875</v>
      </c>
      <c r="H60">
        <v>10</v>
      </c>
      <c r="I60">
        <v>0.34999999999999992</v>
      </c>
      <c r="J60">
        <f t="shared" si="0"/>
        <v>36</v>
      </c>
      <c r="K60">
        <f t="shared" si="1"/>
        <v>720</v>
      </c>
      <c r="L60">
        <f t="shared" si="2"/>
        <v>12.553455316455191</v>
      </c>
      <c r="M60">
        <f t="shared" si="3"/>
        <v>45</v>
      </c>
      <c r="N60">
        <f t="shared" si="4"/>
        <v>27.811529493745269</v>
      </c>
      <c r="O60">
        <f t="shared" si="5"/>
        <v>37.183184914450742</v>
      </c>
      <c r="P60">
        <f t="shared" si="6"/>
        <v>69111.994961092278</v>
      </c>
      <c r="Q60">
        <f t="shared" si="7"/>
        <v>10302.45295258527</v>
      </c>
      <c r="R60">
        <f t="shared" si="8"/>
        <v>3200</v>
      </c>
      <c r="S60">
        <f t="shared" si="9"/>
        <v>-1041.4819939057256</v>
      </c>
      <c r="T60">
        <f t="shared" si="10"/>
        <v>2062.7446036058295</v>
      </c>
      <c r="U60">
        <v>1445</v>
      </c>
      <c r="V60">
        <f t="shared" si="11"/>
        <v>24162.921788639251</v>
      </c>
      <c r="W60">
        <v>174116.785</v>
      </c>
    </row>
    <row r="61" spans="1:23" x14ac:dyDescent="0.25">
      <c r="A61">
        <v>0.5</v>
      </c>
      <c r="B61">
        <v>0.875</v>
      </c>
      <c r="C61">
        <v>160</v>
      </c>
      <c r="D61">
        <v>150</v>
      </c>
      <c r="E61">
        <v>90</v>
      </c>
      <c r="F61">
        <v>16</v>
      </c>
      <c r="G61">
        <v>0.875</v>
      </c>
      <c r="H61">
        <v>8</v>
      </c>
      <c r="I61">
        <v>0.34999999999999992</v>
      </c>
      <c r="J61">
        <f t="shared" si="0"/>
        <v>45</v>
      </c>
      <c r="K61">
        <f t="shared" si="1"/>
        <v>900</v>
      </c>
      <c r="L61">
        <f t="shared" si="2"/>
        <v>15.682742452729697</v>
      </c>
      <c r="M61">
        <f t="shared" si="3"/>
        <v>45</v>
      </c>
      <c r="N61">
        <f t="shared" si="4"/>
        <v>34.441508912858076</v>
      </c>
      <c r="O61">
        <f t="shared" si="5"/>
        <v>38.352945269413802</v>
      </c>
      <c r="P61">
        <f t="shared" si="6"/>
        <v>72611.336478109617</v>
      </c>
      <c r="Q61">
        <f t="shared" si="7"/>
        <v>17488.508738588793</v>
      </c>
      <c r="R61">
        <f t="shared" si="8"/>
        <v>3200</v>
      </c>
      <c r="S61">
        <f t="shared" si="9"/>
        <v>-1002.3238623319307</v>
      </c>
      <c r="T61">
        <f t="shared" si="10"/>
        <v>3574.1773956184929</v>
      </c>
      <c r="U61">
        <v>1446</v>
      </c>
      <c r="V61">
        <f t="shared" si="11"/>
        <v>27638.226444995726</v>
      </c>
      <c r="W61">
        <v>104791.485</v>
      </c>
    </row>
    <row r="62" spans="1:23" x14ac:dyDescent="0.25">
      <c r="A62">
        <v>0.5</v>
      </c>
      <c r="B62">
        <v>0.875</v>
      </c>
      <c r="C62">
        <v>160</v>
      </c>
      <c r="D62">
        <v>150</v>
      </c>
      <c r="E62">
        <v>90</v>
      </c>
      <c r="F62">
        <v>16</v>
      </c>
      <c r="G62">
        <v>0.875</v>
      </c>
      <c r="H62">
        <v>10</v>
      </c>
      <c r="I62">
        <v>0.34999999999999992</v>
      </c>
      <c r="J62">
        <f t="shared" si="0"/>
        <v>36</v>
      </c>
      <c r="K62">
        <f t="shared" si="1"/>
        <v>720</v>
      </c>
      <c r="L62">
        <f t="shared" si="2"/>
        <v>12.553455316455191</v>
      </c>
      <c r="M62">
        <f t="shared" si="3"/>
        <v>45</v>
      </c>
      <c r="N62">
        <f t="shared" si="4"/>
        <v>27.811529493745269</v>
      </c>
      <c r="O62">
        <f t="shared" si="5"/>
        <v>37.183184914450742</v>
      </c>
      <c r="P62">
        <f t="shared" si="6"/>
        <v>72611.336478109617</v>
      </c>
      <c r="Q62">
        <f t="shared" si="7"/>
        <v>20604.905905170541</v>
      </c>
      <c r="R62">
        <f t="shared" si="8"/>
        <v>3200</v>
      </c>
      <c r="S62">
        <f t="shared" si="9"/>
        <v>-1041.4819939057256</v>
      </c>
      <c r="T62">
        <f t="shared" si="10"/>
        <v>4125.489207211659</v>
      </c>
      <c r="U62">
        <v>1447</v>
      </c>
      <c r="V62">
        <f t="shared" si="11"/>
        <v>28669.018885430447</v>
      </c>
      <c r="W62">
        <v>93486.367700000003</v>
      </c>
    </row>
    <row r="63" spans="1:23" x14ac:dyDescent="0.25">
      <c r="A63">
        <v>1.25</v>
      </c>
      <c r="B63">
        <v>0.875</v>
      </c>
      <c r="C63">
        <v>160</v>
      </c>
      <c r="D63">
        <v>150</v>
      </c>
      <c r="E63">
        <v>90</v>
      </c>
      <c r="F63">
        <v>8</v>
      </c>
      <c r="G63">
        <v>0.875</v>
      </c>
      <c r="H63">
        <v>8</v>
      </c>
      <c r="I63">
        <v>0.34999999999999992</v>
      </c>
      <c r="J63">
        <f t="shared" si="0"/>
        <v>45</v>
      </c>
      <c r="K63">
        <f t="shared" si="1"/>
        <v>900</v>
      </c>
      <c r="L63">
        <f t="shared" si="2"/>
        <v>15.682742452729697</v>
      </c>
      <c r="M63">
        <f t="shared" si="3"/>
        <v>45</v>
      </c>
      <c r="N63">
        <f t="shared" si="4"/>
        <v>34.441508912858076</v>
      </c>
      <c r="O63">
        <f t="shared" si="5"/>
        <v>38.352945269413802</v>
      </c>
      <c r="P63">
        <f t="shared" si="6"/>
        <v>69111.994961092278</v>
      </c>
      <c r="Q63">
        <f t="shared" si="7"/>
        <v>8744.2543692943964</v>
      </c>
      <c r="R63">
        <f t="shared" si="8"/>
        <v>8000</v>
      </c>
      <c r="S63">
        <f t="shared" si="9"/>
        <v>-2505.8096558298266</v>
      </c>
      <c r="T63">
        <f t="shared" si="10"/>
        <v>1787.0886978092465</v>
      </c>
      <c r="U63">
        <v>1448</v>
      </c>
      <c r="V63">
        <f t="shared" si="11"/>
        <v>24590.290057751969</v>
      </c>
      <c r="W63">
        <v>177517.261</v>
      </c>
    </row>
    <row r="64" spans="1:23" x14ac:dyDescent="0.25">
      <c r="A64">
        <v>1.25</v>
      </c>
      <c r="B64">
        <v>0.875</v>
      </c>
      <c r="C64">
        <v>160</v>
      </c>
      <c r="D64">
        <v>150</v>
      </c>
      <c r="E64">
        <v>90</v>
      </c>
      <c r="F64">
        <v>8</v>
      </c>
      <c r="G64">
        <v>0.875</v>
      </c>
      <c r="H64">
        <v>10</v>
      </c>
      <c r="I64">
        <v>0.34999999999999992</v>
      </c>
      <c r="J64">
        <f t="shared" si="0"/>
        <v>36</v>
      </c>
      <c r="K64">
        <f t="shared" si="1"/>
        <v>720</v>
      </c>
      <c r="L64">
        <f t="shared" si="2"/>
        <v>12.553455316455191</v>
      </c>
      <c r="M64">
        <f t="shared" si="3"/>
        <v>45</v>
      </c>
      <c r="N64">
        <f t="shared" si="4"/>
        <v>27.811529493745269</v>
      </c>
      <c r="O64">
        <f t="shared" si="5"/>
        <v>37.183184914450742</v>
      </c>
      <c r="P64">
        <f t="shared" si="6"/>
        <v>69111.994961092278</v>
      </c>
      <c r="Q64">
        <f t="shared" si="7"/>
        <v>10302.45295258527</v>
      </c>
      <c r="R64">
        <f t="shared" si="8"/>
        <v>8000</v>
      </c>
      <c r="S64">
        <f t="shared" si="9"/>
        <v>-2603.7049847643138</v>
      </c>
      <c r="T64">
        <f t="shared" si="10"/>
        <v>2062.7446036058295</v>
      </c>
      <c r="U64">
        <v>1449</v>
      </c>
      <c r="V64">
        <f t="shared" si="11"/>
        <v>25083.586459235412</v>
      </c>
      <c r="W64">
        <v>159793.772</v>
      </c>
    </row>
    <row r="65" spans="1:23" x14ac:dyDescent="0.25">
      <c r="A65">
        <v>1.25</v>
      </c>
      <c r="B65">
        <v>0.875</v>
      </c>
      <c r="C65">
        <v>160</v>
      </c>
      <c r="D65">
        <v>150</v>
      </c>
      <c r="E65">
        <v>90</v>
      </c>
      <c r="F65">
        <v>16</v>
      </c>
      <c r="G65">
        <v>0.875</v>
      </c>
      <c r="H65">
        <v>8</v>
      </c>
      <c r="I65">
        <v>0.34999999999999992</v>
      </c>
      <c r="J65">
        <f t="shared" si="0"/>
        <v>45</v>
      </c>
      <c r="K65">
        <f t="shared" si="1"/>
        <v>900</v>
      </c>
      <c r="L65">
        <f t="shared" si="2"/>
        <v>15.682742452729697</v>
      </c>
      <c r="M65">
        <f t="shared" si="3"/>
        <v>45</v>
      </c>
      <c r="N65">
        <f t="shared" si="4"/>
        <v>34.441508912858076</v>
      </c>
      <c r="O65">
        <f t="shared" si="5"/>
        <v>38.352945269413802</v>
      </c>
      <c r="P65">
        <f t="shared" si="6"/>
        <v>72611.336478109617</v>
      </c>
      <c r="Q65">
        <f t="shared" si="7"/>
        <v>17488.508738588793</v>
      </c>
      <c r="R65">
        <f t="shared" si="8"/>
        <v>8000</v>
      </c>
      <c r="S65">
        <f t="shared" si="9"/>
        <v>-2505.8096558298266</v>
      </c>
      <c r="T65">
        <f t="shared" si="10"/>
        <v>3574.1773956184929</v>
      </c>
      <c r="U65">
        <v>1450</v>
      </c>
      <c r="V65">
        <f t="shared" si="11"/>
        <v>28575.572479642331</v>
      </c>
      <c r="W65">
        <v>97531.912400000001</v>
      </c>
    </row>
    <row r="66" spans="1:23" x14ac:dyDescent="0.25">
      <c r="A66">
        <v>1.25</v>
      </c>
      <c r="B66">
        <v>0.875</v>
      </c>
      <c r="C66">
        <v>160</v>
      </c>
      <c r="D66">
        <v>150</v>
      </c>
      <c r="E66">
        <v>90</v>
      </c>
      <c r="F66">
        <v>16</v>
      </c>
      <c r="G66">
        <v>0.875</v>
      </c>
      <c r="H66">
        <v>10</v>
      </c>
      <c r="I66">
        <v>0.34999999999999992</v>
      </c>
      <c r="J66">
        <f t="shared" si="0"/>
        <v>36</v>
      </c>
      <c r="K66">
        <f t="shared" si="1"/>
        <v>720</v>
      </c>
      <c r="L66">
        <f t="shared" si="2"/>
        <v>12.553455316455191</v>
      </c>
      <c r="M66">
        <f t="shared" si="3"/>
        <v>45</v>
      </c>
      <c r="N66">
        <f t="shared" si="4"/>
        <v>27.811529493745269</v>
      </c>
      <c r="O66">
        <f t="shared" si="5"/>
        <v>37.183184914450742</v>
      </c>
      <c r="P66">
        <f t="shared" si="6"/>
        <v>72611.336478109617</v>
      </c>
      <c r="Q66">
        <f t="shared" si="7"/>
        <v>20604.905905170541</v>
      </c>
      <c r="R66">
        <f t="shared" si="8"/>
        <v>8000</v>
      </c>
      <c r="S66">
        <f t="shared" si="9"/>
        <v>-2603.7049847643138</v>
      </c>
      <c r="T66">
        <f t="shared" si="10"/>
        <v>4125.489207211659</v>
      </c>
      <c r="U66">
        <v>1451</v>
      </c>
      <c r="V66">
        <f t="shared" si="11"/>
        <v>29589.683556026608</v>
      </c>
      <c r="W66">
        <v>87075.849100000007</v>
      </c>
    </row>
    <row r="67" spans="1:23" x14ac:dyDescent="0.25">
      <c r="A67">
        <v>0.875</v>
      </c>
      <c r="B67">
        <v>0.5</v>
      </c>
      <c r="C67">
        <v>160</v>
      </c>
      <c r="D67">
        <v>100</v>
      </c>
      <c r="E67">
        <v>90</v>
      </c>
      <c r="F67">
        <v>12</v>
      </c>
      <c r="G67">
        <v>0.875</v>
      </c>
      <c r="H67">
        <v>9</v>
      </c>
      <c r="I67">
        <v>0.52499999999999991</v>
      </c>
      <c r="J67">
        <f t="shared" ref="J67:J93" si="12">360/H67</f>
        <v>40</v>
      </c>
      <c r="K67">
        <f t="shared" ref="K67:K93" si="13">J67*(C67/8)</f>
        <v>800</v>
      </c>
      <c r="L67">
        <f t="shared" ref="L67:L93" si="14">C67*SIN(RADIANS(K67/C67))</f>
        <v>13.944918839625306</v>
      </c>
      <c r="M67">
        <f t="shared" ref="M67:M93" si="15">E67/2</f>
        <v>45</v>
      </c>
      <c r="N67">
        <f t="shared" ref="N67:N93" si="16">M67*(SIN(RADIANS(J67))/SIN(RADIANS(0.5*(180-J67))))</f>
        <v>30.781812899310186</v>
      </c>
      <c r="O67">
        <f t="shared" ref="O67:O93" si="17">SQRT(L67^2 + (0.5*(C67-E67))^2)</f>
        <v>37.675731730700825</v>
      </c>
      <c r="P67">
        <f t="shared" ref="P67:P93" si="18">0.25*PI()*(C67^2 - (C67-2*B67)^2)*(D67+F67)</f>
        <v>28060.705581864033</v>
      </c>
      <c r="Q67">
        <f t="shared" ref="Q67:Q93" si="19">H67*(M67+N67+2*O67)*G67*F67</f>
        <v>14282.094616087266</v>
      </c>
      <c r="R67">
        <f t="shared" ref="R67:R93" si="20">(0.25*C67^2)*A67</f>
        <v>5600</v>
      </c>
      <c r="S67">
        <f t="shared" ref="S67:S93" si="21">-I67*((N67/2)*SQRT(M67^2 - 0.25*N67^2))*A67*H67</f>
        <v>-2690.7440865952581</v>
      </c>
      <c r="T67">
        <f t="shared" ref="T67:T93" si="22">(27.234+H67*5.484)*PI()*F67</f>
        <v>2887.3749760613073</v>
      </c>
      <c r="U67">
        <v>1452</v>
      </c>
      <c r="V67">
        <f t="shared" ref="V67:V93" si="23">0.284*(U67+T67+S67+R67+Q67+P67)</f>
        <v>14083.966428826527</v>
      </c>
      <c r="W67">
        <v>185760.83199999999</v>
      </c>
    </row>
    <row r="68" spans="1:23" x14ac:dyDescent="0.25">
      <c r="A68">
        <v>0.875</v>
      </c>
      <c r="B68">
        <v>0.5</v>
      </c>
      <c r="C68">
        <v>160</v>
      </c>
      <c r="D68">
        <v>100</v>
      </c>
      <c r="E68">
        <v>90</v>
      </c>
      <c r="F68">
        <v>12</v>
      </c>
      <c r="G68">
        <v>0.875</v>
      </c>
      <c r="H68">
        <v>9</v>
      </c>
      <c r="I68">
        <v>0.17499999999999996</v>
      </c>
      <c r="J68">
        <f t="shared" si="12"/>
        <v>40</v>
      </c>
      <c r="K68">
        <f t="shared" si="13"/>
        <v>800</v>
      </c>
      <c r="L68">
        <f t="shared" si="14"/>
        <v>13.944918839625306</v>
      </c>
      <c r="M68">
        <f t="shared" si="15"/>
        <v>45</v>
      </c>
      <c r="N68">
        <f t="shared" si="16"/>
        <v>30.781812899310186</v>
      </c>
      <c r="O68">
        <f t="shared" si="17"/>
        <v>37.675731730700825</v>
      </c>
      <c r="P68">
        <f t="shared" si="18"/>
        <v>28060.705581864033</v>
      </c>
      <c r="Q68">
        <f t="shared" si="19"/>
        <v>14282.094616087266</v>
      </c>
      <c r="R68">
        <f t="shared" si="20"/>
        <v>5600</v>
      </c>
      <c r="S68">
        <f t="shared" si="21"/>
        <v>-896.91469553175261</v>
      </c>
      <c r="T68">
        <f t="shared" si="22"/>
        <v>2887.3749760613073</v>
      </c>
      <c r="U68">
        <v>1453</v>
      </c>
      <c r="V68">
        <f t="shared" si="23"/>
        <v>14593.697975888561</v>
      </c>
      <c r="W68">
        <v>185734.62599999999</v>
      </c>
    </row>
    <row r="69" spans="1:23" x14ac:dyDescent="0.25">
      <c r="A69">
        <v>0.875</v>
      </c>
      <c r="B69">
        <v>0.5</v>
      </c>
      <c r="C69">
        <v>160</v>
      </c>
      <c r="D69">
        <v>200</v>
      </c>
      <c r="E69">
        <v>90</v>
      </c>
      <c r="F69">
        <v>12</v>
      </c>
      <c r="G69">
        <v>0.875</v>
      </c>
      <c r="H69">
        <v>9</v>
      </c>
      <c r="I69">
        <v>0.17499999999999996</v>
      </c>
      <c r="J69">
        <f t="shared" si="12"/>
        <v>40</v>
      </c>
      <c r="K69">
        <f t="shared" si="13"/>
        <v>800</v>
      </c>
      <c r="L69">
        <f t="shared" si="14"/>
        <v>13.944918839625306</v>
      </c>
      <c r="M69">
        <f t="shared" si="15"/>
        <v>45</v>
      </c>
      <c r="N69">
        <f t="shared" si="16"/>
        <v>30.781812899310186</v>
      </c>
      <c r="O69">
        <f t="shared" si="17"/>
        <v>37.675731730700825</v>
      </c>
      <c r="P69">
        <f t="shared" si="18"/>
        <v>53114.906994242636</v>
      </c>
      <c r="Q69">
        <f t="shared" si="19"/>
        <v>14282.094616087266</v>
      </c>
      <c r="R69">
        <f t="shared" si="20"/>
        <v>5600</v>
      </c>
      <c r="S69">
        <f t="shared" si="21"/>
        <v>-896.91469553175261</v>
      </c>
      <c r="T69">
        <f t="shared" si="22"/>
        <v>2887.3749760613073</v>
      </c>
      <c r="U69">
        <v>1454</v>
      </c>
      <c r="V69">
        <f t="shared" si="23"/>
        <v>21709.375177004084</v>
      </c>
      <c r="W69">
        <v>221235.136</v>
      </c>
    </row>
    <row r="70" spans="1:23" x14ac:dyDescent="0.25">
      <c r="A70">
        <v>0.875</v>
      </c>
      <c r="B70">
        <v>1.25</v>
      </c>
      <c r="C70">
        <v>160</v>
      </c>
      <c r="D70">
        <v>100</v>
      </c>
      <c r="E70">
        <v>90</v>
      </c>
      <c r="F70">
        <v>12</v>
      </c>
      <c r="G70">
        <v>0.875</v>
      </c>
      <c r="H70">
        <v>9</v>
      </c>
      <c r="I70">
        <v>0.52499999999999991</v>
      </c>
      <c r="J70">
        <f t="shared" si="12"/>
        <v>40</v>
      </c>
      <c r="K70">
        <f t="shared" si="13"/>
        <v>800</v>
      </c>
      <c r="L70">
        <f t="shared" si="14"/>
        <v>13.944918839625306</v>
      </c>
      <c r="M70">
        <f t="shared" si="15"/>
        <v>45</v>
      </c>
      <c r="N70">
        <f t="shared" si="16"/>
        <v>30.781812899310186</v>
      </c>
      <c r="O70">
        <f t="shared" si="17"/>
        <v>37.675731730700825</v>
      </c>
      <c r="P70">
        <f t="shared" si="18"/>
        <v>69821.896726033156</v>
      </c>
      <c r="Q70">
        <f t="shared" si="19"/>
        <v>14282.094616087266</v>
      </c>
      <c r="R70">
        <f t="shared" si="20"/>
        <v>5600</v>
      </c>
      <c r="S70">
        <f t="shared" si="21"/>
        <v>-2690.7440865952581</v>
      </c>
      <c r="T70">
        <f t="shared" si="22"/>
        <v>2887.3749760613073</v>
      </c>
      <c r="U70">
        <v>1455</v>
      </c>
      <c r="V70">
        <f t="shared" si="23"/>
        <v>25944.996713770557</v>
      </c>
      <c r="W70">
        <v>80048.005900000004</v>
      </c>
    </row>
    <row r="71" spans="1:23" x14ac:dyDescent="0.25">
      <c r="A71">
        <v>0.875</v>
      </c>
      <c r="B71">
        <v>1.25</v>
      </c>
      <c r="C71">
        <v>160</v>
      </c>
      <c r="D71">
        <v>100</v>
      </c>
      <c r="E71">
        <v>90</v>
      </c>
      <c r="F71">
        <v>12</v>
      </c>
      <c r="G71">
        <v>0.875</v>
      </c>
      <c r="H71">
        <v>9</v>
      </c>
      <c r="I71">
        <v>0.17499999999999996</v>
      </c>
      <c r="J71">
        <f t="shared" si="12"/>
        <v>40</v>
      </c>
      <c r="K71">
        <f t="shared" si="13"/>
        <v>800</v>
      </c>
      <c r="L71">
        <f t="shared" si="14"/>
        <v>13.944918839625306</v>
      </c>
      <c r="M71">
        <f t="shared" si="15"/>
        <v>45</v>
      </c>
      <c r="N71">
        <f t="shared" si="16"/>
        <v>30.781812899310186</v>
      </c>
      <c r="O71">
        <f t="shared" si="17"/>
        <v>37.675731730700825</v>
      </c>
      <c r="P71">
        <f t="shared" si="18"/>
        <v>69821.896726033156</v>
      </c>
      <c r="Q71">
        <f t="shared" si="19"/>
        <v>14282.094616087266</v>
      </c>
      <c r="R71">
        <f t="shared" si="20"/>
        <v>5600</v>
      </c>
      <c r="S71">
        <f t="shared" si="21"/>
        <v>-896.91469553175261</v>
      </c>
      <c r="T71">
        <f t="shared" si="22"/>
        <v>2887.3749760613073</v>
      </c>
      <c r="U71">
        <v>1456</v>
      </c>
      <c r="V71">
        <f t="shared" si="23"/>
        <v>26454.728260832588</v>
      </c>
      <c r="W71">
        <v>80091.489700000006</v>
      </c>
    </row>
    <row r="72" spans="1:23" x14ac:dyDescent="0.25">
      <c r="A72">
        <v>0.875</v>
      </c>
      <c r="B72">
        <v>1.25</v>
      </c>
      <c r="C72">
        <v>160</v>
      </c>
      <c r="D72">
        <v>200</v>
      </c>
      <c r="E72">
        <v>90</v>
      </c>
      <c r="F72">
        <v>12</v>
      </c>
      <c r="G72">
        <v>0.875</v>
      </c>
      <c r="H72">
        <v>9</v>
      </c>
      <c r="I72">
        <v>0.52499999999999991</v>
      </c>
      <c r="J72">
        <f t="shared" si="12"/>
        <v>40</v>
      </c>
      <c r="K72">
        <f t="shared" si="13"/>
        <v>800</v>
      </c>
      <c r="L72">
        <f t="shared" si="14"/>
        <v>13.944918839625306</v>
      </c>
      <c r="M72">
        <f t="shared" si="15"/>
        <v>45</v>
      </c>
      <c r="N72">
        <f t="shared" si="16"/>
        <v>30.781812899310186</v>
      </c>
      <c r="O72">
        <f t="shared" si="17"/>
        <v>37.675731730700825</v>
      </c>
      <c r="P72">
        <f t="shared" si="18"/>
        <v>132162.8759457056</v>
      </c>
      <c r="Q72">
        <f t="shared" si="19"/>
        <v>14282.094616087266</v>
      </c>
      <c r="R72">
        <f t="shared" si="20"/>
        <v>5600</v>
      </c>
      <c r="S72">
        <f t="shared" si="21"/>
        <v>-2690.7440865952581</v>
      </c>
      <c r="T72">
        <f t="shared" si="22"/>
        <v>2887.3749760613073</v>
      </c>
      <c r="U72">
        <v>1457</v>
      </c>
      <c r="V72">
        <f t="shared" si="23"/>
        <v>43650.402812157532</v>
      </c>
      <c r="W72">
        <v>92186.604900000006</v>
      </c>
    </row>
    <row r="73" spans="1:23" x14ac:dyDescent="0.25">
      <c r="A73">
        <v>0.875</v>
      </c>
      <c r="B73">
        <v>1.25</v>
      </c>
      <c r="C73">
        <v>160</v>
      </c>
      <c r="D73">
        <v>200</v>
      </c>
      <c r="E73">
        <v>90</v>
      </c>
      <c r="F73">
        <v>12</v>
      </c>
      <c r="G73">
        <v>0.875</v>
      </c>
      <c r="H73">
        <v>9</v>
      </c>
      <c r="I73">
        <v>0.17499999999999996</v>
      </c>
      <c r="J73">
        <f t="shared" si="12"/>
        <v>40</v>
      </c>
      <c r="K73">
        <f t="shared" si="13"/>
        <v>800</v>
      </c>
      <c r="L73">
        <f t="shared" si="14"/>
        <v>13.944918839625306</v>
      </c>
      <c r="M73">
        <f t="shared" si="15"/>
        <v>45</v>
      </c>
      <c r="N73">
        <f t="shared" si="16"/>
        <v>30.781812899310186</v>
      </c>
      <c r="O73">
        <f t="shared" si="17"/>
        <v>37.675731730700825</v>
      </c>
      <c r="P73">
        <f t="shared" si="18"/>
        <v>132162.8759457056</v>
      </c>
      <c r="Q73">
        <f t="shared" si="19"/>
        <v>14282.094616087266</v>
      </c>
      <c r="R73">
        <f t="shared" si="20"/>
        <v>5600</v>
      </c>
      <c r="S73">
        <f t="shared" si="21"/>
        <v>-896.91469553175261</v>
      </c>
      <c r="T73">
        <f t="shared" si="22"/>
        <v>2887.3749760613073</v>
      </c>
      <c r="U73">
        <v>1458</v>
      </c>
      <c r="V73">
        <f t="shared" si="23"/>
        <v>44160.134359219563</v>
      </c>
      <c r="W73">
        <v>92252.749800000005</v>
      </c>
    </row>
    <row r="74" spans="1:23" x14ac:dyDescent="0.25">
      <c r="A74">
        <v>0.875</v>
      </c>
      <c r="B74">
        <v>0.875</v>
      </c>
      <c r="C74">
        <v>120</v>
      </c>
      <c r="D74">
        <v>150</v>
      </c>
      <c r="E74">
        <v>80</v>
      </c>
      <c r="F74">
        <v>12</v>
      </c>
      <c r="G74">
        <v>0.5</v>
      </c>
      <c r="H74">
        <v>9</v>
      </c>
      <c r="I74">
        <v>0.34999999999999992</v>
      </c>
      <c r="J74">
        <f t="shared" si="12"/>
        <v>40</v>
      </c>
      <c r="K74">
        <f t="shared" si="13"/>
        <v>600</v>
      </c>
      <c r="L74">
        <f t="shared" si="14"/>
        <v>10.45868912971898</v>
      </c>
      <c r="M74">
        <f t="shared" si="15"/>
        <v>40</v>
      </c>
      <c r="N74">
        <f t="shared" si="16"/>
        <v>27.361611466053496</v>
      </c>
      <c r="O74">
        <f t="shared" si="17"/>
        <v>22.569540941545576</v>
      </c>
      <c r="P74">
        <f t="shared" si="18"/>
        <v>53048.835373746828</v>
      </c>
      <c r="Q74">
        <f t="shared" si="19"/>
        <v>6075.03744085381</v>
      </c>
      <c r="R74">
        <f t="shared" si="20"/>
        <v>3150</v>
      </c>
      <c r="S74">
        <f t="shared" si="21"/>
        <v>-1417.3466793588186</v>
      </c>
      <c r="T74">
        <f t="shared" si="22"/>
        <v>2887.3749760613073</v>
      </c>
      <c r="U74">
        <v>1459</v>
      </c>
      <c r="V74">
        <f t="shared" si="23"/>
        <v>18517.623915610086</v>
      </c>
      <c r="W74">
        <v>141303.35500000001</v>
      </c>
    </row>
    <row r="75" spans="1:23" x14ac:dyDescent="0.25">
      <c r="A75">
        <v>0.875</v>
      </c>
      <c r="B75">
        <v>0.875</v>
      </c>
      <c r="C75">
        <v>120</v>
      </c>
      <c r="D75">
        <v>150</v>
      </c>
      <c r="E75">
        <v>100</v>
      </c>
      <c r="F75">
        <v>12</v>
      </c>
      <c r="G75">
        <v>0.5</v>
      </c>
      <c r="H75">
        <v>9</v>
      </c>
      <c r="I75">
        <v>0.34999999999999992</v>
      </c>
      <c r="J75">
        <f t="shared" si="12"/>
        <v>40</v>
      </c>
      <c r="K75">
        <f t="shared" si="13"/>
        <v>600</v>
      </c>
      <c r="L75">
        <f t="shared" si="14"/>
        <v>10.45868912971898</v>
      </c>
      <c r="M75">
        <f t="shared" si="15"/>
        <v>50</v>
      </c>
      <c r="N75">
        <f t="shared" si="16"/>
        <v>34.202014332566868</v>
      </c>
      <c r="O75">
        <f t="shared" si="17"/>
        <v>14.470113279173109</v>
      </c>
      <c r="P75">
        <f t="shared" si="18"/>
        <v>53048.835373746828</v>
      </c>
      <c r="Q75">
        <f t="shared" si="19"/>
        <v>6109.6810081093063</v>
      </c>
      <c r="R75">
        <f t="shared" si="20"/>
        <v>3150</v>
      </c>
      <c r="S75">
        <f t="shared" si="21"/>
        <v>-2214.6041864981539</v>
      </c>
      <c r="T75">
        <f t="shared" si="22"/>
        <v>2887.3749760613073</v>
      </c>
      <c r="U75">
        <v>1460</v>
      </c>
      <c r="V75">
        <f t="shared" si="23"/>
        <v>18301.325556683078</v>
      </c>
      <c r="W75">
        <v>116480.982</v>
      </c>
    </row>
    <row r="76" spans="1:23" x14ac:dyDescent="0.25">
      <c r="A76">
        <v>0.875</v>
      </c>
      <c r="B76">
        <v>0.875</v>
      </c>
      <c r="C76">
        <v>120</v>
      </c>
      <c r="D76">
        <v>150</v>
      </c>
      <c r="E76">
        <v>100</v>
      </c>
      <c r="F76">
        <v>12</v>
      </c>
      <c r="G76">
        <v>1.25</v>
      </c>
      <c r="H76">
        <v>9</v>
      </c>
      <c r="I76">
        <v>0.34999999999999992</v>
      </c>
      <c r="J76">
        <f t="shared" si="12"/>
        <v>40</v>
      </c>
      <c r="K76">
        <f t="shared" si="13"/>
        <v>600</v>
      </c>
      <c r="L76">
        <f t="shared" si="14"/>
        <v>10.45868912971898</v>
      </c>
      <c r="M76">
        <f t="shared" si="15"/>
        <v>50</v>
      </c>
      <c r="N76">
        <f t="shared" si="16"/>
        <v>34.202014332566868</v>
      </c>
      <c r="O76">
        <f t="shared" si="17"/>
        <v>14.470113279173109</v>
      </c>
      <c r="P76">
        <f t="shared" si="18"/>
        <v>53048.835373746828</v>
      </c>
      <c r="Q76">
        <f t="shared" si="19"/>
        <v>15274.202520273266</v>
      </c>
      <c r="R76">
        <f t="shared" si="20"/>
        <v>3150</v>
      </c>
      <c r="S76">
        <f t="shared" si="21"/>
        <v>-2214.6041864981539</v>
      </c>
      <c r="T76">
        <f t="shared" si="22"/>
        <v>2887.3749760613073</v>
      </c>
      <c r="U76">
        <v>1461</v>
      </c>
      <c r="V76">
        <f t="shared" si="23"/>
        <v>20904.333666137642</v>
      </c>
      <c r="W76">
        <v>78055.828299999994</v>
      </c>
    </row>
    <row r="77" spans="1:23" x14ac:dyDescent="0.25">
      <c r="A77">
        <v>0.875</v>
      </c>
      <c r="B77">
        <v>0.875</v>
      </c>
      <c r="C77">
        <v>200</v>
      </c>
      <c r="D77">
        <v>150</v>
      </c>
      <c r="E77">
        <v>80</v>
      </c>
      <c r="F77">
        <v>12</v>
      </c>
      <c r="G77">
        <v>0.5</v>
      </c>
      <c r="H77">
        <v>9</v>
      </c>
      <c r="I77">
        <v>0.34999999999999992</v>
      </c>
      <c r="J77">
        <f t="shared" si="12"/>
        <v>40</v>
      </c>
      <c r="K77">
        <f t="shared" si="13"/>
        <v>1000</v>
      </c>
      <c r="L77">
        <f t="shared" si="14"/>
        <v>17.431148549531635</v>
      </c>
      <c r="M77">
        <f t="shared" si="15"/>
        <v>40</v>
      </c>
      <c r="N77">
        <f t="shared" si="16"/>
        <v>27.361611466053496</v>
      </c>
      <c r="O77">
        <f t="shared" si="17"/>
        <v>62.480756555565478</v>
      </c>
      <c r="P77">
        <f t="shared" si="18"/>
        <v>88674.496065455081</v>
      </c>
      <c r="Q77">
        <f t="shared" si="19"/>
        <v>10385.448727167961</v>
      </c>
      <c r="R77">
        <f t="shared" si="20"/>
        <v>8750</v>
      </c>
      <c r="S77">
        <f t="shared" si="21"/>
        <v>-1417.3466793588186</v>
      </c>
      <c r="T77">
        <f t="shared" si="22"/>
        <v>2887.3749760613073</v>
      </c>
      <c r="U77">
        <v>1462</v>
      </c>
      <c r="V77">
        <f t="shared" si="23"/>
        <v>31450.720357368449</v>
      </c>
      <c r="W77">
        <v>197722.61499999999</v>
      </c>
    </row>
    <row r="78" spans="1:23" x14ac:dyDescent="0.25">
      <c r="A78">
        <v>0.875</v>
      </c>
      <c r="B78">
        <v>0.875</v>
      </c>
      <c r="C78">
        <v>200</v>
      </c>
      <c r="D78">
        <v>150</v>
      </c>
      <c r="E78">
        <v>100</v>
      </c>
      <c r="F78">
        <v>12</v>
      </c>
      <c r="G78">
        <v>0.5</v>
      </c>
      <c r="H78">
        <v>9</v>
      </c>
      <c r="I78">
        <v>0.34999999999999992</v>
      </c>
      <c r="J78">
        <f t="shared" si="12"/>
        <v>40</v>
      </c>
      <c r="K78">
        <f t="shared" si="13"/>
        <v>1000</v>
      </c>
      <c r="L78">
        <f t="shared" si="14"/>
        <v>17.431148549531635</v>
      </c>
      <c r="M78">
        <f t="shared" si="15"/>
        <v>50</v>
      </c>
      <c r="N78">
        <f t="shared" si="16"/>
        <v>34.202014332566868</v>
      </c>
      <c r="O78">
        <f t="shared" si="17"/>
        <v>52.951345023104359</v>
      </c>
      <c r="P78">
        <f t="shared" si="18"/>
        <v>88674.496065455081</v>
      </c>
      <c r="Q78">
        <f t="shared" si="19"/>
        <v>10265.654036453881</v>
      </c>
      <c r="R78">
        <f t="shared" si="20"/>
        <v>8750</v>
      </c>
      <c r="S78">
        <f t="shared" si="21"/>
        <v>-2214.6041864981539</v>
      </c>
      <c r="T78">
        <f t="shared" si="22"/>
        <v>2887.3749760613073</v>
      </c>
      <c r="U78">
        <v>1463</v>
      </c>
      <c r="V78">
        <f t="shared" si="23"/>
        <v>31190.561533178075</v>
      </c>
      <c r="W78">
        <v>199270.149</v>
      </c>
    </row>
    <row r="79" spans="1:23" x14ac:dyDescent="0.25">
      <c r="A79">
        <v>0.5</v>
      </c>
      <c r="B79">
        <v>0.875</v>
      </c>
      <c r="C79">
        <v>160</v>
      </c>
      <c r="D79">
        <v>100</v>
      </c>
      <c r="E79">
        <v>90</v>
      </c>
      <c r="F79">
        <v>12</v>
      </c>
      <c r="G79">
        <v>0.5</v>
      </c>
      <c r="H79">
        <v>9</v>
      </c>
      <c r="I79">
        <v>0.34999999999999992</v>
      </c>
      <c r="J79">
        <f t="shared" si="12"/>
        <v>40</v>
      </c>
      <c r="K79">
        <f t="shared" si="13"/>
        <v>800</v>
      </c>
      <c r="L79">
        <f t="shared" si="14"/>
        <v>13.944918839625306</v>
      </c>
      <c r="M79">
        <f t="shared" si="15"/>
        <v>45</v>
      </c>
      <c r="N79">
        <f t="shared" si="16"/>
        <v>30.781812899310186</v>
      </c>
      <c r="O79">
        <f t="shared" si="17"/>
        <v>37.675731730700825</v>
      </c>
      <c r="P79">
        <f t="shared" si="18"/>
        <v>48990.781238242627</v>
      </c>
      <c r="Q79">
        <f t="shared" si="19"/>
        <v>8161.1969234784374</v>
      </c>
      <c r="R79">
        <f t="shared" si="20"/>
        <v>3200</v>
      </c>
      <c r="S79">
        <f t="shared" si="21"/>
        <v>-1025.045366322003</v>
      </c>
      <c r="T79">
        <f t="shared" si="22"/>
        <v>2887.3749760613073</v>
      </c>
      <c r="U79">
        <v>1464</v>
      </c>
      <c r="V79">
        <f t="shared" si="23"/>
        <v>18084.639407094743</v>
      </c>
      <c r="W79">
        <v>166697.18900000001</v>
      </c>
    </row>
    <row r="80" spans="1:23" x14ac:dyDescent="0.25">
      <c r="A80">
        <v>0.5</v>
      </c>
      <c r="B80">
        <v>0.875</v>
      </c>
      <c r="C80">
        <v>160</v>
      </c>
      <c r="D80">
        <v>100</v>
      </c>
      <c r="E80">
        <v>90</v>
      </c>
      <c r="F80">
        <v>12</v>
      </c>
      <c r="G80">
        <v>1.25</v>
      </c>
      <c r="H80">
        <v>9</v>
      </c>
      <c r="I80">
        <v>0.34999999999999992</v>
      </c>
      <c r="J80">
        <f t="shared" si="12"/>
        <v>40</v>
      </c>
      <c r="K80">
        <f t="shared" si="13"/>
        <v>800</v>
      </c>
      <c r="L80">
        <f t="shared" si="14"/>
        <v>13.944918839625306</v>
      </c>
      <c r="M80">
        <f t="shared" si="15"/>
        <v>45</v>
      </c>
      <c r="N80">
        <f t="shared" si="16"/>
        <v>30.781812899310186</v>
      </c>
      <c r="O80">
        <f t="shared" si="17"/>
        <v>37.675731730700825</v>
      </c>
      <c r="P80">
        <f t="shared" si="18"/>
        <v>48990.781238242627</v>
      </c>
      <c r="Q80">
        <f t="shared" si="19"/>
        <v>20402.992308696095</v>
      </c>
      <c r="R80">
        <f t="shared" si="20"/>
        <v>3200</v>
      </c>
      <c r="S80">
        <f t="shared" si="21"/>
        <v>-1025.045366322003</v>
      </c>
      <c r="T80">
        <f t="shared" si="22"/>
        <v>2887.3749760613073</v>
      </c>
      <c r="U80">
        <v>1465</v>
      </c>
      <c r="V80">
        <f t="shared" si="23"/>
        <v>21561.593296496558</v>
      </c>
      <c r="W80">
        <v>95930.360100000005</v>
      </c>
    </row>
    <row r="81" spans="1:23" x14ac:dyDescent="0.25">
      <c r="A81">
        <v>0.5</v>
      </c>
      <c r="B81">
        <v>0.875</v>
      </c>
      <c r="C81">
        <v>160</v>
      </c>
      <c r="D81">
        <v>200</v>
      </c>
      <c r="E81">
        <v>90</v>
      </c>
      <c r="F81">
        <v>12</v>
      </c>
      <c r="G81">
        <v>0.5</v>
      </c>
      <c r="H81">
        <v>9</v>
      </c>
      <c r="I81">
        <v>0.34999999999999992</v>
      </c>
      <c r="J81">
        <f t="shared" si="12"/>
        <v>40</v>
      </c>
      <c r="K81">
        <f t="shared" si="13"/>
        <v>800</v>
      </c>
      <c r="L81">
        <f t="shared" si="14"/>
        <v>13.944918839625306</v>
      </c>
      <c r="M81">
        <f t="shared" si="15"/>
        <v>45</v>
      </c>
      <c r="N81">
        <f t="shared" si="16"/>
        <v>30.781812899310186</v>
      </c>
      <c r="O81">
        <f t="shared" si="17"/>
        <v>37.675731730700825</v>
      </c>
      <c r="P81">
        <f t="shared" si="18"/>
        <v>92732.55020095926</v>
      </c>
      <c r="Q81">
        <f t="shared" si="19"/>
        <v>8161.1969234784374</v>
      </c>
      <c r="R81">
        <f t="shared" si="20"/>
        <v>3200</v>
      </c>
      <c r="S81">
        <f t="shared" si="21"/>
        <v>-1025.045366322003</v>
      </c>
      <c r="T81">
        <f t="shared" si="22"/>
        <v>2887.3749760613073</v>
      </c>
      <c r="U81">
        <v>1466</v>
      </c>
      <c r="V81">
        <f t="shared" si="23"/>
        <v>30507.869792506266</v>
      </c>
      <c r="W81">
        <v>197919.02100000001</v>
      </c>
    </row>
    <row r="82" spans="1:23" x14ac:dyDescent="0.25">
      <c r="A82">
        <v>0.5</v>
      </c>
      <c r="B82">
        <v>0.875</v>
      </c>
      <c r="C82">
        <v>160</v>
      </c>
      <c r="D82">
        <v>200</v>
      </c>
      <c r="E82">
        <v>90</v>
      </c>
      <c r="F82">
        <v>12</v>
      </c>
      <c r="G82">
        <v>1.25</v>
      </c>
      <c r="H82">
        <v>9</v>
      </c>
      <c r="I82">
        <v>0.34999999999999992</v>
      </c>
      <c r="J82">
        <f t="shared" si="12"/>
        <v>40</v>
      </c>
      <c r="K82">
        <f t="shared" si="13"/>
        <v>800</v>
      </c>
      <c r="L82">
        <f t="shared" si="14"/>
        <v>13.944918839625306</v>
      </c>
      <c r="M82">
        <f t="shared" si="15"/>
        <v>45</v>
      </c>
      <c r="N82">
        <f t="shared" si="16"/>
        <v>30.781812899310186</v>
      </c>
      <c r="O82">
        <f t="shared" si="17"/>
        <v>37.675731730700825</v>
      </c>
      <c r="P82">
        <f t="shared" si="18"/>
        <v>92732.55020095926</v>
      </c>
      <c r="Q82">
        <f t="shared" si="19"/>
        <v>20402.992308696095</v>
      </c>
      <c r="R82">
        <f t="shared" si="20"/>
        <v>3200</v>
      </c>
      <c r="S82">
        <f t="shared" si="21"/>
        <v>-1025.045366322003</v>
      </c>
      <c r="T82">
        <f t="shared" si="22"/>
        <v>2887.3749760613073</v>
      </c>
      <c r="U82">
        <v>1467</v>
      </c>
      <c r="V82">
        <f t="shared" si="23"/>
        <v>33984.823681908078</v>
      </c>
      <c r="W82">
        <v>122055.586</v>
      </c>
    </row>
    <row r="83" spans="1:23" x14ac:dyDescent="0.25">
      <c r="A83">
        <v>1.25</v>
      </c>
      <c r="B83">
        <v>0.875</v>
      </c>
      <c r="C83">
        <v>160</v>
      </c>
      <c r="D83">
        <v>100</v>
      </c>
      <c r="E83">
        <v>90</v>
      </c>
      <c r="F83">
        <v>12</v>
      </c>
      <c r="G83">
        <v>0.5</v>
      </c>
      <c r="H83">
        <v>9</v>
      </c>
      <c r="I83">
        <v>0.34999999999999992</v>
      </c>
      <c r="J83">
        <f t="shared" si="12"/>
        <v>40</v>
      </c>
      <c r="K83">
        <f t="shared" si="13"/>
        <v>800</v>
      </c>
      <c r="L83">
        <f t="shared" si="14"/>
        <v>13.944918839625306</v>
      </c>
      <c r="M83">
        <f t="shared" si="15"/>
        <v>45</v>
      </c>
      <c r="N83">
        <f t="shared" si="16"/>
        <v>30.781812899310186</v>
      </c>
      <c r="O83">
        <f t="shared" si="17"/>
        <v>37.675731730700825</v>
      </c>
      <c r="P83">
        <f t="shared" si="18"/>
        <v>48990.781238242627</v>
      </c>
      <c r="Q83">
        <f t="shared" si="19"/>
        <v>8161.1969234784374</v>
      </c>
      <c r="R83">
        <f t="shared" si="20"/>
        <v>8000</v>
      </c>
      <c r="S83">
        <f t="shared" si="21"/>
        <v>-2562.6134158050072</v>
      </c>
      <c r="T83">
        <f t="shared" si="22"/>
        <v>2887.3749760613073</v>
      </c>
      <c r="U83">
        <v>1468</v>
      </c>
      <c r="V83">
        <f t="shared" si="23"/>
        <v>19012.306081041566</v>
      </c>
      <c r="W83">
        <v>156297.43299999999</v>
      </c>
    </row>
    <row r="84" spans="1:23" x14ac:dyDescent="0.25">
      <c r="A84">
        <v>1.25</v>
      </c>
      <c r="B84">
        <v>0.875</v>
      </c>
      <c r="C84">
        <v>160</v>
      </c>
      <c r="D84">
        <v>100</v>
      </c>
      <c r="E84">
        <v>90</v>
      </c>
      <c r="F84">
        <v>12</v>
      </c>
      <c r="G84">
        <v>1.25</v>
      </c>
      <c r="H84">
        <v>9</v>
      </c>
      <c r="I84">
        <v>0.34999999999999992</v>
      </c>
      <c r="J84">
        <f t="shared" si="12"/>
        <v>40</v>
      </c>
      <c r="K84">
        <f t="shared" si="13"/>
        <v>800</v>
      </c>
      <c r="L84">
        <f t="shared" si="14"/>
        <v>13.944918839625306</v>
      </c>
      <c r="M84">
        <f t="shared" si="15"/>
        <v>45</v>
      </c>
      <c r="N84">
        <f t="shared" si="16"/>
        <v>30.781812899310186</v>
      </c>
      <c r="O84">
        <f t="shared" si="17"/>
        <v>37.675731730700825</v>
      </c>
      <c r="P84">
        <f t="shared" si="18"/>
        <v>48990.781238242627</v>
      </c>
      <c r="Q84">
        <f t="shared" si="19"/>
        <v>20402.992308696095</v>
      </c>
      <c r="R84">
        <f t="shared" si="20"/>
        <v>8000</v>
      </c>
      <c r="S84">
        <f t="shared" si="21"/>
        <v>-2562.6134158050072</v>
      </c>
      <c r="T84">
        <f t="shared" si="22"/>
        <v>2887.3749760613073</v>
      </c>
      <c r="U84">
        <v>1469</v>
      </c>
      <c r="V84">
        <f t="shared" si="23"/>
        <v>22489.259970443385</v>
      </c>
      <c r="W84">
        <v>89313.9087</v>
      </c>
    </row>
    <row r="85" spans="1:23" x14ac:dyDescent="0.25">
      <c r="A85">
        <v>1.25</v>
      </c>
      <c r="B85">
        <v>0.875</v>
      </c>
      <c r="C85">
        <v>160</v>
      </c>
      <c r="D85">
        <v>200</v>
      </c>
      <c r="E85">
        <v>90</v>
      </c>
      <c r="F85">
        <v>12</v>
      </c>
      <c r="G85">
        <v>0.5</v>
      </c>
      <c r="H85">
        <v>9</v>
      </c>
      <c r="I85">
        <v>0.34999999999999992</v>
      </c>
      <c r="J85">
        <f t="shared" si="12"/>
        <v>40</v>
      </c>
      <c r="K85">
        <f t="shared" si="13"/>
        <v>800</v>
      </c>
      <c r="L85">
        <f t="shared" si="14"/>
        <v>13.944918839625306</v>
      </c>
      <c r="M85">
        <f t="shared" si="15"/>
        <v>45</v>
      </c>
      <c r="N85">
        <f t="shared" si="16"/>
        <v>30.781812899310186</v>
      </c>
      <c r="O85">
        <f t="shared" si="17"/>
        <v>37.675731730700825</v>
      </c>
      <c r="P85">
        <f t="shared" si="18"/>
        <v>92732.55020095926</v>
      </c>
      <c r="Q85">
        <f t="shared" si="19"/>
        <v>8161.1969234784374</v>
      </c>
      <c r="R85">
        <f t="shared" si="20"/>
        <v>8000</v>
      </c>
      <c r="S85">
        <f t="shared" si="21"/>
        <v>-2562.6134158050072</v>
      </c>
      <c r="T85">
        <f t="shared" si="22"/>
        <v>2887.3749760613073</v>
      </c>
      <c r="U85">
        <v>1470</v>
      </c>
      <c r="V85">
        <f t="shared" si="23"/>
        <v>31435.536466453093</v>
      </c>
      <c r="W85">
        <v>186191.84099999999</v>
      </c>
    </row>
    <row r="86" spans="1:23" x14ac:dyDescent="0.25">
      <c r="A86">
        <v>1.25</v>
      </c>
      <c r="B86">
        <v>0.875</v>
      </c>
      <c r="C86">
        <v>160</v>
      </c>
      <c r="D86">
        <v>200</v>
      </c>
      <c r="E86">
        <v>90</v>
      </c>
      <c r="F86">
        <v>12</v>
      </c>
      <c r="G86">
        <v>1.25</v>
      </c>
      <c r="H86">
        <v>9</v>
      </c>
      <c r="I86">
        <v>0.34999999999999992</v>
      </c>
      <c r="J86">
        <f t="shared" si="12"/>
        <v>40</v>
      </c>
      <c r="K86">
        <f t="shared" si="13"/>
        <v>800</v>
      </c>
      <c r="L86">
        <f t="shared" si="14"/>
        <v>13.944918839625306</v>
      </c>
      <c r="M86">
        <f t="shared" si="15"/>
        <v>45</v>
      </c>
      <c r="N86">
        <f t="shared" si="16"/>
        <v>30.781812899310186</v>
      </c>
      <c r="O86">
        <f t="shared" si="17"/>
        <v>37.675731730700825</v>
      </c>
      <c r="P86">
        <f t="shared" si="18"/>
        <v>92732.55020095926</v>
      </c>
      <c r="Q86">
        <f t="shared" si="19"/>
        <v>20402.992308696095</v>
      </c>
      <c r="R86">
        <f t="shared" si="20"/>
        <v>8000</v>
      </c>
      <c r="S86">
        <f t="shared" si="21"/>
        <v>-2562.6134158050072</v>
      </c>
      <c r="T86">
        <f t="shared" si="22"/>
        <v>2887.3749760613073</v>
      </c>
      <c r="U86">
        <v>1471</v>
      </c>
      <c r="V86">
        <f t="shared" si="23"/>
        <v>34912.490355854905</v>
      </c>
      <c r="W86">
        <v>101836.007</v>
      </c>
    </row>
    <row r="87" spans="1:23" x14ac:dyDescent="0.25">
      <c r="A87">
        <v>0.875</v>
      </c>
      <c r="B87">
        <v>0.5</v>
      </c>
      <c r="C87">
        <v>160</v>
      </c>
      <c r="D87">
        <v>150</v>
      </c>
      <c r="E87">
        <v>80</v>
      </c>
      <c r="F87">
        <v>12</v>
      </c>
      <c r="G87">
        <v>0.875</v>
      </c>
      <c r="H87">
        <v>8</v>
      </c>
      <c r="I87">
        <v>0.34999999999999992</v>
      </c>
      <c r="J87">
        <f t="shared" si="12"/>
        <v>45</v>
      </c>
      <c r="K87">
        <f t="shared" si="13"/>
        <v>900</v>
      </c>
      <c r="L87">
        <f t="shared" si="14"/>
        <v>15.682742452729697</v>
      </c>
      <c r="M87">
        <f t="shared" si="15"/>
        <v>40</v>
      </c>
      <c r="N87">
        <f t="shared" si="16"/>
        <v>30.614674589207176</v>
      </c>
      <c r="O87">
        <f t="shared" si="17"/>
        <v>42.964501752477595</v>
      </c>
      <c r="P87">
        <f t="shared" si="18"/>
        <v>40587.806288053333</v>
      </c>
      <c r="Q87">
        <f t="shared" si="19"/>
        <v>13149.668959909641</v>
      </c>
      <c r="R87">
        <f t="shared" si="20"/>
        <v>5600</v>
      </c>
      <c r="S87">
        <f t="shared" si="21"/>
        <v>-1385.9292911256325</v>
      </c>
      <c r="T87">
        <f t="shared" si="22"/>
        <v>2680.6330467138696</v>
      </c>
      <c r="U87">
        <v>1472</v>
      </c>
      <c r="V87">
        <f t="shared" si="23"/>
        <v>17637.586837008541</v>
      </c>
      <c r="W87">
        <v>224745.65400000001</v>
      </c>
    </row>
    <row r="88" spans="1:23" x14ac:dyDescent="0.25">
      <c r="A88">
        <v>0.875</v>
      </c>
      <c r="B88">
        <v>0.5</v>
      </c>
      <c r="C88">
        <v>160</v>
      </c>
      <c r="D88">
        <v>150</v>
      </c>
      <c r="E88">
        <v>100</v>
      </c>
      <c r="F88">
        <v>12</v>
      </c>
      <c r="G88">
        <v>0.875</v>
      </c>
      <c r="H88">
        <v>8</v>
      </c>
      <c r="I88">
        <v>0.34999999999999992</v>
      </c>
      <c r="J88">
        <f t="shared" si="12"/>
        <v>45</v>
      </c>
      <c r="K88">
        <f t="shared" si="13"/>
        <v>900</v>
      </c>
      <c r="L88">
        <f t="shared" si="14"/>
        <v>15.682742452729697</v>
      </c>
      <c r="M88">
        <f t="shared" si="15"/>
        <v>50</v>
      </c>
      <c r="N88">
        <f t="shared" si="16"/>
        <v>38.268343236508976</v>
      </c>
      <c r="O88">
        <f t="shared" si="17"/>
        <v>33.851859784045104</v>
      </c>
      <c r="P88">
        <f t="shared" si="18"/>
        <v>40587.806288053333</v>
      </c>
      <c r="Q88">
        <f t="shared" si="19"/>
        <v>13101.653275586332</v>
      </c>
      <c r="R88">
        <f t="shared" si="20"/>
        <v>5600</v>
      </c>
      <c r="S88">
        <f t="shared" si="21"/>
        <v>-2165.5145173838014</v>
      </c>
      <c r="T88">
        <f t="shared" si="22"/>
        <v>2680.6330467138696</v>
      </c>
      <c r="U88">
        <v>1473</v>
      </c>
      <c r="V88">
        <f t="shared" si="23"/>
        <v>17402.832178403405</v>
      </c>
      <c r="W88">
        <v>218629.41</v>
      </c>
    </row>
    <row r="89" spans="1:23" x14ac:dyDescent="0.25">
      <c r="A89">
        <v>0.875</v>
      </c>
      <c r="B89">
        <v>0.5</v>
      </c>
      <c r="C89">
        <v>160</v>
      </c>
      <c r="D89">
        <v>150</v>
      </c>
      <c r="E89">
        <v>100</v>
      </c>
      <c r="F89">
        <v>12</v>
      </c>
      <c r="G89">
        <v>0.875</v>
      </c>
      <c r="H89">
        <v>10</v>
      </c>
      <c r="I89">
        <v>0.34999999999999992</v>
      </c>
      <c r="J89">
        <f t="shared" si="12"/>
        <v>36</v>
      </c>
      <c r="K89">
        <f t="shared" si="13"/>
        <v>720</v>
      </c>
      <c r="L89">
        <f t="shared" si="14"/>
        <v>12.553455316455191</v>
      </c>
      <c r="M89">
        <f t="shared" si="15"/>
        <v>50</v>
      </c>
      <c r="N89">
        <f t="shared" si="16"/>
        <v>30.901699437494745</v>
      </c>
      <c r="O89">
        <f t="shared" si="17"/>
        <v>32.520597171365672</v>
      </c>
      <c r="P89">
        <f t="shared" si="18"/>
        <v>40587.806288053333</v>
      </c>
      <c r="Q89">
        <f t="shared" si="19"/>
        <v>15324.003846923741</v>
      </c>
      <c r="R89">
        <f t="shared" si="20"/>
        <v>5600</v>
      </c>
      <c r="S89">
        <f t="shared" si="21"/>
        <v>-2250.1154189321237</v>
      </c>
      <c r="T89">
        <f t="shared" si="22"/>
        <v>3094.1169054087441</v>
      </c>
      <c r="U89">
        <v>1474</v>
      </c>
      <c r="V89">
        <f t="shared" si="23"/>
        <v>18127.666500492847</v>
      </c>
      <c r="W89">
        <v>194987.36199999999</v>
      </c>
    </row>
    <row r="90" spans="1:23" x14ac:dyDescent="0.25">
      <c r="A90">
        <v>0.875</v>
      </c>
      <c r="B90">
        <v>1.25</v>
      </c>
      <c r="C90">
        <v>160</v>
      </c>
      <c r="D90">
        <v>150</v>
      </c>
      <c r="E90">
        <v>100</v>
      </c>
      <c r="F90">
        <v>12</v>
      </c>
      <c r="G90">
        <v>0.875</v>
      </c>
      <c r="H90">
        <v>8</v>
      </c>
      <c r="I90">
        <v>0.34999999999999992</v>
      </c>
      <c r="J90">
        <f t="shared" si="12"/>
        <v>45</v>
      </c>
      <c r="K90">
        <f t="shared" si="13"/>
        <v>900</v>
      </c>
      <c r="L90">
        <f t="shared" si="14"/>
        <v>15.682742452729697</v>
      </c>
      <c r="M90">
        <f t="shared" si="15"/>
        <v>50</v>
      </c>
      <c r="N90">
        <f t="shared" si="16"/>
        <v>38.268343236508976</v>
      </c>
      <c r="O90">
        <f t="shared" si="17"/>
        <v>33.851859784045104</v>
      </c>
      <c r="P90">
        <f t="shared" si="18"/>
        <v>100992.38633586938</v>
      </c>
      <c r="Q90">
        <f t="shared" si="19"/>
        <v>13101.653275586332</v>
      </c>
      <c r="R90">
        <f t="shared" si="20"/>
        <v>5600</v>
      </c>
      <c r="S90">
        <f t="shared" si="21"/>
        <v>-2165.5145173838014</v>
      </c>
      <c r="T90">
        <f t="shared" si="22"/>
        <v>2680.6330467138696</v>
      </c>
      <c r="U90">
        <v>1475</v>
      </c>
      <c r="V90">
        <f t="shared" si="23"/>
        <v>34558.300911983155</v>
      </c>
      <c r="W90">
        <v>92677.225600000005</v>
      </c>
    </row>
    <row r="91" spans="1:23" x14ac:dyDescent="0.25">
      <c r="A91">
        <v>0.875</v>
      </c>
      <c r="B91">
        <v>1.25</v>
      </c>
      <c r="C91">
        <v>160</v>
      </c>
      <c r="D91">
        <v>150</v>
      </c>
      <c r="E91">
        <v>100</v>
      </c>
      <c r="F91">
        <v>12</v>
      </c>
      <c r="G91">
        <v>0.875</v>
      </c>
      <c r="H91">
        <v>10</v>
      </c>
      <c r="I91">
        <v>0.34999999999999992</v>
      </c>
      <c r="J91">
        <f t="shared" si="12"/>
        <v>36</v>
      </c>
      <c r="K91">
        <f t="shared" si="13"/>
        <v>720</v>
      </c>
      <c r="L91">
        <f t="shared" si="14"/>
        <v>12.553455316455191</v>
      </c>
      <c r="M91">
        <f t="shared" si="15"/>
        <v>50</v>
      </c>
      <c r="N91">
        <f t="shared" si="16"/>
        <v>30.901699437494745</v>
      </c>
      <c r="O91">
        <f t="shared" si="17"/>
        <v>32.520597171365672</v>
      </c>
      <c r="P91">
        <f t="shared" si="18"/>
        <v>100992.38633586938</v>
      </c>
      <c r="Q91">
        <f t="shared" si="19"/>
        <v>15324.003846923741</v>
      </c>
      <c r="R91">
        <f t="shared" si="20"/>
        <v>5600</v>
      </c>
      <c r="S91">
        <f t="shared" si="21"/>
        <v>-2250.1154189321237</v>
      </c>
      <c r="T91">
        <f t="shared" si="22"/>
        <v>3094.1169054087441</v>
      </c>
      <c r="U91">
        <v>1476</v>
      </c>
      <c r="V91">
        <f t="shared" si="23"/>
        <v>35283.135234072601</v>
      </c>
      <c r="W91">
        <v>82210.691699999996</v>
      </c>
    </row>
    <row r="92" spans="1:23" x14ac:dyDescent="0.25">
      <c r="A92">
        <v>0.875</v>
      </c>
      <c r="B92">
        <v>0.875</v>
      </c>
      <c r="C92">
        <v>120</v>
      </c>
      <c r="D92">
        <v>150</v>
      </c>
      <c r="E92">
        <v>90</v>
      </c>
      <c r="F92">
        <v>8</v>
      </c>
      <c r="G92">
        <v>0.875</v>
      </c>
      <c r="H92">
        <v>9</v>
      </c>
      <c r="I92">
        <v>0.52499999999999991</v>
      </c>
      <c r="J92">
        <f t="shared" si="12"/>
        <v>40</v>
      </c>
      <c r="K92">
        <f t="shared" si="13"/>
        <v>600</v>
      </c>
      <c r="L92">
        <f t="shared" si="14"/>
        <v>10.45868912971898</v>
      </c>
      <c r="M92">
        <f t="shared" si="15"/>
        <v>45</v>
      </c>
      <c r="N92">
        <f t="shared" si="16"/>
        <v>30.781812899310186</v>
      </c>
      <c r="O92">
        <f t="shared" si="17"/>
        <v>18.286174512787028</v>
      </c>
      <c r="P92">
        <f t="shared" si="18"/>
        <v>51738.987586740732</v>
      </c>
      <c r="Q92">
        <f t="shared" si="19"/>
        <v>7078.3122012677068</v>
      </c>
      <c r="R92">
        <f t="shared" si="20"/>
        <v>3150</v>
      </c>
      <c r="S92">
        <f t="shared" si="21"/>
        <v>-2690.7440865952581</v>
      </c>
      <c r="T92">
        <f t="shared" si="22"/>
        <v>1924.9166507075381</v>
      </c>
      <c r="U92">
        <v>1477</v>
      </c>
      <c r="V92">
        <f t="shared" si="23"/>
        <v>17800.686148002282</v>
      </c>
      <c r="W92">
        <v>127570.431</v>
      </c>
    </row>
    <row r="93" spans="1:23" x14ac:dyDescent="0.25">
      <c r="A93">
        <v>0.875</v>
      </c>
      <c r="B93">
        <v>0.875</v>
      </c>
      <c r="C93">
        <v>120</v>
      </c>
      <c r="D93">
        <v>150</v>
      </c>
      <c r="E93">
        <v>90</v>
      </c>
      <c r="F93">
        <v>8</v>
      </c>
      <c r="G93">
        <v>0.875</v>
      </c>
      <c r="H93">
        <v>9</v>
      </c>
      <c r="I93">
        <v>0.17499999999999996</v>
      </c>
      <c r="J93">
        <f t="shared" si="12"/>
        <v>40</v>
      </c>
      <c r="K93">
        <f t="shared" si="13"/>
        <v>600</v>
      </c>
      <c r="L93">
        <f t="shared" si="14"/>
        <v>10.45868912971898</v>
      </c>
      <c r="M93">
        <f t="shared" si="15"/>
        <v>45</v>
      </c>
      <c r="N93">
        <f t="shared" si="16"/>
        <v>30.781812899310186</v>
      </c>
      <c r="O93">
        <f t="shared" si="17"/>
        <v>18.286174512787028</v>
      </c>
      <c r="P93">
        <f t="shared" si="18"/>
        <v>51738.987586740732</v>
      </c>
      <c r="Q93">
        <f t="shared" si="19"/>
        <v>7078.3122012677068</v>
      </c>
      <c r="R93">
        <f t="shared" si="20"/>
        <v>3150</v>
      </c>
      <c r="S93">
        <f t="shared" si="21"/>
        <v>-896.91469553175261</v>
      </c>
      <c r="T93">
        <f t="shared" si="22"/>
        <v>1924.9166507075381</v>
      </c>
      <c r="U93">
        <v>1478</v>
      </c>
      <c r="V93">
        <f t="shared" si="23"/>
        <v>18310.41769506432</v>
      </c>
      <c r="W93">
        <v>127585.334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Ryan Williams</cp:lastModifiedBy>
  <dcterms:created xsi:type="dcterms:W3CDTF">2025-01-27T16:28:33Z</dcterms:created>
  <dcterms:modified xsi:type="dcterms:W3CDTF">2025-01-27T16:32:33Z</dcterms:modified>
</cp:coreProperties>
</file>