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2022\1600 JOBS\2022_1633\RSW\"/>
    </mc:Choice>
  </mc:AlternateContent>
  <xr:revisionPtr revIDLastSave="0" documentId="13_ncr:1_{0F55D45A-EC66-46C2-94FD-2098EF4C33C0}" xr6:coauthVersionLast="47" xr6:coauthVersionMax="47" xr10:uidLastSave="{00000000-0000-0000-0000-000000000000}"/>
  <bookViews>
    <workbookView xWindow="-120" yWindow="-120" windowWidth="29040" windowHeight="15840" xr2:uid="{903378C9-2F6E-4697-A6EA-E85EE63734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4" i="1"/>
  <c r="A3" i="1"/>
  <c r="A2" i="1"/>
</calcChain>
</file>

<file path=xl/sharedStrings.xml><?xml version="1.0" encoding="utf-8"?>
<sst xmlns="http://schemas.openxmlformats.org/spreadsheetml/2006/main" count="4" uniqueCount="4">
  <si>
    <t>Path 1 Max M+B [MPa]</t>
  </si>
  <si>
    <t>Path 2 Max M+B [MPa]</t>
  </si>
  <si>
    <t>Coarse Mesh</t>
  </si>
  <si>
    <t>Load@45deg [kN]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</si>
</sst>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Sheet1!$C$1</c:f>
              <c:strCache>
                <c:ptCount val="1"/>
                <c:pt idx="0">
                  <c:v>Path 2 Max M+B [MPa]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0.02</c:v>
                </c:pt>
                <c:pt idx="1">
                  <c:v>0.3</c:v>
                </c:pt>
                <c:pt idx="2">
                  <c:v>0.6</c:v>
                </c:pt>
                <c:pt idx="3">
                  <c:v>1</c:v>
                </c:pt>
                <c:pt idx="4">
                  <c:v>20</c:v>
                </c:pt>
                <c:pt idx="5">
                  <c:v>300</c:v>
                </c:pt>
                <c:pt idx="6">
                  <c:v>600</c:v>
                </c:pt>
                <c:pt idx="7">
                  <c:v>1000</c:v>
                </c:pt>
              </c:numCache>
            </c:numRef>
          </c:xVal>
          <c:yVal>
            <c:numRef>
              <c:f>Sheet1!$B$2:$B$9</c:f>
              <c:numCache>
                <c:formatCode>0.0</c:formatCode>
                <c:ptCount val="8"/>
                <c:pt idx="0">
                  <c:v>4.4833E-3</c:v>
                </c:pt>
                <c:pt idx="1">
                  <c:v>6.744E-2</c:v>
                </c:pt>
                <c:pt idx="2">
                  <c:v>0.13491</c:v>
                </c:pt>
                <c:pt idx="3">
                  <c:v>0.22483</c:v>
                </c:pt>
                <c:pt idx="4">
                  <c:v>4.4832999999999998</c:v>
                </c:pt>
                <c:pt idx="5">
                  <c:v>67.245315875686231</c:v>
                </c:pt>
                <c:pt idx="6">
                  <c:v>134.49031264414893</c:v>
                </c:pt>
                <c:pt idx="7">
                  <c:v>224.15030833543253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A7-4FF0-8E92-8A6C0BBEF397}"/>
            </c:ext>
          </c:extLst>
        </c:ser>
        <c:ser>
          <c:idx val="0"/>
          <c:order val="1"/>
          <c:tx>
            <c:strRef>
              <c:f>Sheet1!$B$1</c:f>
              <c:strCache>
                <c:ptCount val="1"/>
                <c:pt idx="0">
                  <c:v>Path 1 Max M+B [MPa]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0.02</c:v>
                </c:pt>
                <c:pt idx="1">
                  <c:v>0.3</c:v>
                </c:pt>
                <c:pt idx="2">
                  <c:v>0.6</c:v>
                </c:pt>
                <c:pt idx="3">
                  <c:v>1</c:v>
                </c:pt>
                <c:pt idx="4">
                  <c:v>20</c:v>
                </c:pt>
                <c:pt idx="5">
                  <c:v>300</c:v>
                </c:pt>
                <c:pt idx="6">
                  <c:v>600</c:v>
                </c:pt>
                <c:pt idx="7">
                  <c:v>1000</c:v>
                </c:pt>
              </c:numCache>
            </c:numRef>
          </c:xVal>
          <c:yVal>
            <c:numRef>
              <c:f>Sheet1!$C$2:$C$9</c:f>
              <c:numCache>
                <c:formatCode>0.0</c:formatCode>
                <c:ptCount val="8"/>
                <c:pt idx="0">
                  <c:v>3.5057999999999999E-3</c:v>
                </c:pt>
                <c:pt idx="1">
                  <c:v>5.2735999999999998E-2</c:v>
                </c:pt>
                <c:pt idx="2">
                  <c:v>0.1055</c:v>
                </c:pt>
                <c:pt idx="3">
                  <c:v>0.17580999999999999</c:v>
                </c:pt>
                <c:pt idx="4">
                  <c:v>3.8075999999999999</c:v>
                </c:pt>
                <c:pt idx="5">
                  <c:v>57.113</c:v>
                </c:pt>
                <c:pt idx="6">
                  <c:v>114.25</c:v>
                </c:pt>
                <c:pt idx="7">
                  <c:v>190.4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A7-4FF0-8E92-8A6C0BBEF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165456"/>
        <c:axId val="82170256"/>
      </c:scatterChart>
      <c:valAx>
        <c:axId val="8216545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[kN]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70256"/>
        <c:crosses val="autoZero"/>
        <c:crossBetween val="midCat"/>
      </c:valAx>
      <c:valAx>
        <c:axId val="821702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Stress</a:t>
                </a:r>
                <a:r>
                  <a:rPr lang="en-US" baseline="0"/>
                  <a:t> [MPa]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65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95249</xdr:colOff>
      <xdr:row>11</xdr:row>
      <xdr:rowOff>61912</xdr:rowOff>
    </xdr:from>
    <xdr:to>
      <xdr:col>10</xdr:col>
      <xdr:colOff>581024</xdr:colOff>
      <xdr:row>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3C19DD-2D40-7C51-640E-3776E6ACE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Load@45deg%20[kN]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3055B-C13A-4615-BAAC-AC55CF9B2B66}">
  <dimension ref="A1:F9"/>
  <sheetViews>
    <sheetView tabSelected="1" workbookViewId="0">
      <selection activeCell="D6" sqref="D6"/>
    </sheetView>
  </sheetViews>
  <sheetFormatPr defaultRowHeight="15" x14ac:dyDescent="0.25"/>
  <cols>
    <col min="1" max="1" width="16.28515625" bestFit="1" customWidth="1"/>
    <col min="2" max="3" width="20.28515625" bestFit="1" customWidth="1"/>
  </cols>
  <sheetData>
    <row r="1" spans="1:6" x14ac:dyDescent="0.25">
      <c r="A1" s="2" t="s">
        <v>3</v>
      </c>
      <c r="B1" s="2" t="s">
        <v>0</v>
      </c>
      <c r="C1" s="2" t="s">
        <v>1</v>
      </c>
    </row>
    <row r="2" spans="1:6" x14ac:dyDescent="0.25">
      <c r="A2" s="2">
        <f>20/1000</f>
        <v>0.02</v>
      </c>
      <c r="B2" s="3">
        <v>4.4833E-3</v>
      </c>
      <c r="C2" s="3">
        <v>3.5057999999999999E-3</v>
      </c>
    </row>
    <row r="3" spans="1:6" x14ac:dyDescent="0.25">
      <c r="A3" s="2">
        <f>300/1000</f>
        <v>0.3</v>
      </c>
      <c r="B3" s="3">
        <v>6.744E-2</v>
      </c>
      <c r="C3" s="3">
        <v>5.2735999999999998E-2</v>
      </c>
    </row>
    <row r="4" spans="1:6" x14ac:dyDescent="0.25">
      <c r="A4" s="2">
        <f>600/1000</f>
        <v>0.6</v>
      </c>
      <c r="B4" s="3">
        <v>0.13491</v>
      </c>
      <c r="C4" s="3">
        <v>0.1055</v>
      </c>
    </row>
    <row r="5" spans="1:6" x14ac:dyDescent="0.25">
      <c r="A5" s="2">
        <f>1000/1000</f>
        <v>1</v>
      </c>
      <c r="B5" s="3">
        <v>0.22483</v>
      </c>
      <c r="C5" s="3">
        <v>0.17580999999999999</v>
      </c>
      <c r="E5" s="1" t="s">
        <v>2</v>
      </c>
      <c r="F5" s="1"/>
    </row>
    <row r="6" spans="1:6" x14ac:dyDescent="0.25">
      <c r="A6" s="2">
        <v>20</v>
      </c>
      <c r="B6" s="3">
        <v>4.4832999999999998</v>
      </c>
      <c r="C6" s="3">
        <v>3.8075999999999999</v>
      </c>
      <c r="E6">
        <v>3.6307</v>
      </c>
      <c r="F6">
        <v>3.8075999999999999</v>
      </c>
    </row>
    <row r="7" spans="1:6" x14ac:dyDescent="0.25">
      <c r="A7" s="2">
        <v>300</v>
      </c>
      <c r="B7" s="3">
        <v>67.245315875686231</v>
      </c>
      <c r="C7" s="3">
        <v>57.113</v>
      </c>
      <c r="E7">
        <v>54.460999999999999</v>
      </c>
      <c r="F7">
        <v>57.113</v>
      </c>
    </row>
    <row r="8" spans="1:6" x14ac:dyDescent="0.25">
      <c r="A8" s="2">
        <v>600</v>
      </c>
      <c r="B8" s="3">
        <v>134.49031264414893</v>
      </c>
      <c r="C8" s="3">
        <v>114.25</v>
      </c>
      <c r="E8">
        <v>108.95</v>
      </c>
      <c r="F8">
        <v>114.25</v>
      </c>
    </row>
    <row r="9" spans="1:6" x14ac:dyDescent="0.25">
      <c r="A9" s="2">
        <v>1000</v>
      </c>
      <c r="B9" s="3">
        <v>224.15030833543253</v>
      </c>
      <c r="C9" s="3">
        <v>190.4</v>
      </c>
      <c r="E9">
        <v>181.56</v>
      </c>
      <c r="F9">
        <v>190.4</v>
      </c>
    </row>
  </sheetData>
  <mergeCells count="1">
    <mergeCell ref="E5:F5"/>
  </mergeCells>
  <hyperlinks>
    <hyperlink ref="A1" r:id="rId1" xr:uid="{27B7D975-6348-40A3-A57A-F9DC894A7604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Williams</dc:creator>
  <cp:lastModifiedBy>Ryan Williams</cp:lastModifiedBy>
  <dcterms:created xsi:type="dcterms:W3CDTF">2024-10-02T12:19:52Z</dcterms:created>
  <dcterms:modified xsi:type="dcterms:W3CDTF">2024-10-02T18:42:59Z</dcterms:modified>
</cp:coreProperties>
</file>