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BaiduSyncdisk\论文投稿\20-AST-精细建模及参数化分析\AST1-建模分析\SM\"/>
    </mc:Choice>
  </mc:AlternateContent>
  <xr:revisionPtr revIDLastSave="0" documentId="8_{B64EC411-C166-4C16-880D-2F4C3A8C4524}" xr6:coauthVersionLast="47" xr6:coauthVersionMax="47" xr10:uidLastSave="{00000000-0000-0000-0000-000000000000}"/>
  <bookViews>
    <workbookView xWindow="-120" yWindow="-120" windowWidth="38640" windowHeight="21120" xr2:uid="{B9D6E135-9991-43C5-B3F6-415F22221D21}"/>
  </bookViews>
  <sheets>
    <sheet name="Material propert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 s="1"/>
  <c r="E21" i="1"/>
  <c r="F20" i="1"/>
  <c r="G20" i="1" s="1"/>
  <c r="E20" i="1"/>
  <c r="F18" i="1"/>
  <c r="G18" i="1" s="1"/>
  <c r="E18" i="1"/>
  <c r="F17" i="1"/>
  <c r="G17" i="1" s="1"/>
  <c r="E17" i="1"/>
  <c r="F15" i="1"/>
  <c r="G15" i="1" s="1"/>
  <c r="E15" i="1"/>
  <c r="F14" i="1"/>
  <c r="G14" i="1" s="1"/>
  <c r="E14" i="1"/>
  <c r="K12" i="1"/>
  <c r="L12" i="1" s="1"/>
  <c r="J12" i="1"/>
  <c r="G12" i="1"/>
  <c r="F12" i="1"/>
  <c r="E12" i="1"/>
  <c r="K11" i="1"/>
  <c r="L11" i="1" s="1"/>
  <c r="J11" i="1"/>
  <c r="F11" i="1"/>
  <c r="G11" i="1" s="1"/>
  <c r="E11" i="1"/>
  <c r="F9" i="1"/>
  <c r="G9" i="1" s="1"/>
  <c r="E9" i="1"/>
  <c r="K8" i="1"/>
  <c r="L8" i="1" s="1"/>
  <c r="J8" i="1"/>
  <c r="F8" i="1"/>
  <c r="G8" i="1" s="1"/>
  <c r="E8" i="1"/>
  <c r="L6" i="1"/>
  <c r="K6" i="1"/>
  <c r="J6" i="1"/>
  <c r="F6" i="1"/>
  <c r="E6" i="1"/>
  <c r="G6" i="1" s="1"/>
  <c r="L5" i="1"/>
  <c r="K5" i="1"/>
  <c r="J5" i="1"/>
  <c r="F5" i="1"/>
  <c r="G5" i="1" s="1"/>
  <c r="E5" i="1"/>
  <c r="K3" i="1"/>
  <c r="L3" i="1" s="1"/>
  <c r="J3" i="1"/>
  <c r="F3" i="1"/>
  <c r="G3" i="1" s="1"/>
  <c r="E3" i="1"/>
  <c r="K2" i="1"/>
  <c r="L2" i="1" s="1"/>
  <c r="J2" i="1"/>
  <c r="F2" i="1"/>
  <c r="G2" i="1" s="1"/>
  <c r="E2" i="1"/>
</calcChain>
</file>

<file path=xl/sharedStrings.xml><?xml version="1.0" encoding="utf-8"?>
<sst xmlns="http://schemas.openxmlformats.org/spreadsheetml/2006/main" count="88" uniqueCount="40">
  <si>
    <t>X-Flat</t>
    <phoneticPr fontId="2" type="noConversion"/>
  </si>
  <si>
    <t>X-F-1</t>
    <phoneticPr fontId="2" type="noConversion"/>
  </si>
  <si>
    <t>X-F-2</t>
    <phoneticPr fontId="2" type="noConversion"/>
  </si>
  <si>
    <t>X-F-3</t>
    <phoneticPr fontId="2" type="noConversion"/>
  </si>
  <si>
    <t>Mean</t>
    <phoneticPr fontId="2" type="noConversion"/>
  </si>
  <si>
    <t>STDEV</t>
    <phoneticPr fontId="2" type="noConversion"/>
  </si>
  <si>
    <t>CV (%)</t>
    <phoneticPr fontId="2" type="noConversion"/>
  </si>
  <si>
    <t>Flat</t>
    <phoneticPr fontId="2" type="noConversion"/>
  </si>
  <si>
    <t>Maximum strengths/MPa</t>
    <phoneticPr fontId="2" type="noConversion"/>
  </si>
  <si>
    <t>Elasticity modulus/MPa</t>
    <phoneticPr fontId="2" type="noConversion"/>
  </si>
  <si>
    <t>1993.96241390048`</t>
    <phoneticPr fontId="2" type="noConversion"/>
  </si>
  <si>
    <t>X-On-edge</t>
    <phoneticPr fontId="2" type="noConversion"/>
  </si>
  <si>
    <t>X-O-1</t>
    <phoneticPr fontId="2" type="noConversion"/>
  </si>
  <si>
    <t>X-O-2</t>
    <phoneticPr fontId="2" type="noConversion"/>
  </si>
  <si>
    <t>X-O-3</t>
    <phoneticPr fontId="2" type="noConversion"/>
  </si>
  <si>
    <t>On-edge</t>
    <phoneticPr fontId="2" type="noConversion"/>
  </si>
  <si>
    <t>Maximum strengths/MPa</t>
  </si>
  <si>
    <t>Elasticity modulus/MPa</t>
  </si>
  <si>
    <t>Y-Flat</t>
    <phoneticPr fontId="2" type="noConversion"/>
  </si>
  <si>
    <t>Y-F-1</t>
    <phoneticPr fontId="2" type="noConversion"/>
  </si>
  <si>
    <t>Y-F-2</t>
    <phoneticPr fontId="2" type="noConversion"/>
  </si>
  <si>
    <t>Y-F-3</t>
    <phoneticPr fontId="2" type="noConversion"/>
  </si>
  <si>
    <t>Upright</t>
    <phoneticPr fontId="2" type="noConversion"/>
  </si>
  <si>
    <t>Y-On-edge</t>
    <phoneticPr fontId="2" type="noConversion"/>
  </si>
  <si>
    <t>Y-O-1</t>
    <phoneticPr fontId="2" type="noConversion"/>
  </si>
  <si>
    <t>Y-O-2</t>
    <phoneticPr fontId="2" type="noConversion"/>
  </si>
  <si>
    <t>Y-O-3</t>
    <phoneticPr fontId="2" type="noConversion"/>
  </si>
  <si>
    <t>Sum</t>
    <phoneticPr fontId="2" type="noConversion"/>
  </si>
  <si>
    <t>45Deg-Flat</t>
    <phoneticPr fontId="2" type="noConversion"/>
  </si>
  <si>
    <t>45-F-1</t>
    <phoneticPr fontId="2" type="noConversion"/>
  </si>
  <si>
    <t>45-F-2</t>
    <phoneticPr fontId="2" type="noConversion"/>
  </si>
  <si>
    <t>45-F-3</t>
    <phoneticPr fontId="2" type="noConversion"/>
  </si>
  <si>
    <t>45Deg-On-edge</t>
    <phoneticPr fontId="2" type="noConversion"/>
  </si>
  <si>
    <t>45-O-1</t>
    <phoneticPr fontId="2" type="noConversion"/>
  </si>
  <si>
    <t>45-O-2</t>
    <phoneticPr fontId="2" type="noConversion"/>
  </si>
  <si>
    <t>45-O-3</t>
    <phoneticPr fontId="2" type="noConversion"/>
  </si>
  <si>
    <t>Z-Upright</t>
    <phoneticPr fontId="2" type="noConversion"/>
  </si>
  <si>
    <t>Z-U-1</t>
    <phoneticPr fontId="2" type="noConversion"/>
  </si>
  <si>
    <t>Z-U-2</t>
    <phoneticPr fontId="2" type="noConversion"/>
  </si>
  <si>
    <t>Z-U-3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</si>
</sst>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A756-B792-4359-8DAD-188AD97B6562}">
  <dimension ref="A1:L21"/>
  <sheetViews>
    <sheetView tabSelected="1" workbookViewId="0">
      <selection activeCell="I25" sqref="I25"/>
    </sheetView>
  </sheetViews>
  <sheetFormatPr defaultRowHeight="14.25" x14ac:dyDescent="0.2"/>
  <cols>
    <col min="1" max="1" width="25.375" customWidth="1"/>
    <col min="2" max="4" width="10.625" customWidth="1"/>
    <col min="5" max="7" width="7.25" customWidth="1"/>
    <col min="9" max="9" width="23.5" customWidth="1"/>
    <col min="10" max="12" width="7.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4</v>
      </c>
      <c r="K1" s="1" t="s">
        <v>5</v>
      </c>
      <c r="L1" s="1" t="s">
        <v>6</v>
      </c>
    </row>
    <row r="2" spans="1:12" ht="15.75" x14ac:dyDescent="0.2">
      <c r="A2" s="2" t="s">
        <v>8</v>
      </c>
      <c r="B2" s="2">
        <v>35.776409999999998</v>
      </c>
      <c r="C2" s="2">
        <v>34.790840000000003</v>
      </c>
      <c r="D2" s="2">
        <v>37.581409999999998</v>
      </c>
      <c r="E2" s="2">
        <f>AVERAGE(B2:D2)</f>
        <v>36.049553333333336</v>
      </c>
      <c r="F2" s="2">
        <f>STDEV(B2:D2)</f>
        <v>1.4151945773049468</v>
      </c>
      <c r="G2" s="2">
        <f>F2/E2*100</f>
        <v>3.9256924051715854</v>
      </c>
      <c r="I2" s="2" t="s">
        <v>8</v>
      </c>
      <c r="J2" s="2">
        <f>AVERAGE(B2:D2,B14:D14,B8:D8)</f>
        <v>36.284509999999997</v>
      </c>
      <c r="K2" s="2">
        <f>STDEV(B2:D2,B8:D8,B14:D14)</f>
        <v>3.1855700350565197</v>
      </c>
      <c r="L2" s="2">
        <f>K2/J2*100</f>
        <v>8.779421397881686</v>
      </c>
    </row>
    <row r="3" spans="1:12" ht="15.75" x14ac:dyDescent="0.2">
      <c r="A3" s="1" t="s">
        <v>9</v>
      </c>
      <c r="B3" s="1" t="s">
        <v>10</v>
      </c>
      <c r="C3" s="1">
        <v>1990.4116993799</v>
      </c>
      <c r="D3" s="1">
        <v>2157.4549792724602</v>
      </c>
      <c r="E3" s="2">
        <f>AVERAGE(B3:D3)</f>
        <v>2073.93333932618</v>
      </c>
      <c r="F3" s="2">
        <f>STDEV(B3:D3)</f>
        <v>118.11743596367172</v>
      </c>
      <c r="G3" s="2">
        <f>F3/E3*100</f>
        <v>5.6953342580455368</v>
      </c>
      <c r="I3" s="1" t="s">
        <v>9</v>
      </c>
      <c r="J3" s="2">
        <f>AVERAGE(B3:D3,B15:D15,B9:D9)</f>
        <v>2019.2453377543052</v>
      </c>
      <c r="K3" s="2">
        <f>STDEV(B3:D3,B9:D9,B15:D15)</f>
        <v>103.35775735776321</v>
      </c>
      <c r="L3" s="2">
        <f>K3/J3*100</f>
        <v>5.1186329578312701</v>
      </c>
    </row>
    <row r="4" spans="1:12" ht="15.75" x14ac:dyDescent="0.2">
      <c r="A4" s="1" t="s">
        <v>11</v>
      </c>
      <c r="B4" s="1" t="s">
        <v>12</v>
      </c>
      <c r="C4" s="1" t="s">
        <v>13</v>
      </c>
      <c r="D4" s="1" t="s">
        <v>14</v>
      </c>
      <c r="E4" s="1" t="s">
        <v>4</v>
      </c>
      <c r="F4" s="1" t="s">
        <v>5</v>
      </c>
      <c r="G4" s="1" t="s">
        <v>6</v>
      </c>
      <c r="I4" s="1" t="s">
        <v>15</v>
      </c>
      <c r="J4" s="1" t="s">
        <v>4</v>
      </c>
      <c r="K4" s="1" t="s">
        <v>5</v>
      </c>
      <c r="L4" s="1" t="s">
        <v>6</v>
      </c>
    </row>
    <row r="5" spans="1:12" ht="15.75" x14ac:dyDescent="0.2">
      <c r="A5" s="2" t="s">
        <v>8</v>
      </c>
      <c r="B5" s="2">
        <v>41.65014</v>
      </c>
      <c r="C5" s="2">
        <v>42.243209999999998</v>
      </c>
      <c r="D5" s="2">
        <v>41.65014</v>
      </c>
      <c r="E5" s="2">
        <f>AVERAGE(B5:D5)</f>
        <v>41.847829999999995</v>
      </c>
      <c r="F5" s="2">
        <f>STDEV(B5:D5)</f>
        <v>0.34240912414828983</v>
      </c>
      <c r="G5" s="2">
        <f>F5/E5*100</f>
        <v>0.81822432405285972</v>
      </c>
      <c r="I5" s="2" t="s">
        <v>16</v>
      </c>
      <c r="J5" s="2">
        <f>AVERAGE(B5:D5,B17:D17,B11:D11)</f>
        <v>38.439235555555548</v>
      </c>
      <c r="K5" s="2">
        <f>STDEV(B5:D5,B11:D11,B17:D17)</f>
        <v>4.7567489325092209</v>
      </c>
      <c r="L5" s="2">
        <f>K5/J5*100</f>
        <v>12.374723023912313</v>
      </c>
    </row>
    <row r="6" spans="1:12" ht="15.75" x14ac:dyDescent="0.2">
      <c r="A6" s="1" t="s">
        <v>9</v>
      </c>
      <c r="B6" s="1">
        <v>2181.1096507095599</v>
      </c>
      <c r="C6" s="1">
        <v>2272.4822044812199</v>
      </c>
      <c r="D6" s="1">
        <v>2348.6171491783798</v>
      </c>
      <c r="E6" s="2">
        <f>AVERAGE(B6:D6)</f>
        <v>2267.4030014563864</v>
      </c>
      <c r="F6" s="2">
        <f>STDEV(B6:D6)</f>
        <v>83.869179311270443</v>
      </c>
      <c r="G6" s="2">
        <f>F6/E6*100</f>
        <v>3.6989092480428067</v>
      </c>
      <c r="I6" s="1" t="s">
        <v>17</v>
      </c>
      <c r="J6" s="2">
        <f>AVERAGE(B6:D6,B18:D18,B12:D12)</f>
        <v>2193.5212811658912</v>
      </c>
      <c r="K6" s="2">
        <f>STDEV(B6:D6,B12:D12,B18:D18)</f>
        <v>124.73118678181361</v>
      </c>
      <c r="L6" s="2">
        <f>K6/J6*100</f>
        <v>5.6863449583455603</v>
      </c>
    </row>
    <row r="7" spans="1:12" ht="15.75" x14ac:dyDescent="0.2">
      <c r="A7" s="1" t="s">
        <v>18</v>
      </c>
      <c r="B7" s="1" t="s">
        <v>19</v>
      </c>
      <c r="C7" s="1" t="s">
        <v>20</v>
      </c>
      <c r="D7" s="1" t="s">
        <v>21</v>
      </c>
      <c r="E7" s="1" t="s">
        <v>4</v>
      </c>
      <c r="F7" s="1" t="s">
        <v>5</v>
      </c>
      <c r="G7" s="1" t="s">
        <v>6</v>
      </c>
      <c r="I7" s="1" t="s">
        <v>22</v>
      </c>
      <c r="J7" s="1" t="s">
        <v>4</v>
      </c>
      <c r="K7" s="1" t="s">
        <v>5</v>
      </c>
      <c r="L7" s="1" t="s">
        <v>6</v>
      </c>
    </row>
    <row r="8" spans="1:12" ht="15.75" x14ac:dyDescent="0.2">
      <c r="A8" s="2" t="s">
        <v>8</v>
      </c>
      <c r="B8" s="2">
        <v>36.551180000000002</v>
      </c>
      <c r="C8" s="2">
        <v>29.938040000000001</v>
      </c>
      <c r="D8" s="2">
        <v>36.933230000000002</v>
      </c>
      <c r="E8" s="2">
        <f>AVERAGE(B8:D8)</f>
        <v>34.474150000000002</v>
      </c>
      <c r="F8" s="2">
        <f>STDEV(B8:D8)</f>
        <v>3.9330282225913415</v>
      </c>
      <c r="G8" s="2">
        <f>F8/E8*100</f>
        <v>11.408630009996886</v>
      </c>
      <c r="I8" s="2" t="s">
        <v>16</v>
      </c>
      <c r="J8" s="2">
        <f>AVERAGE(B20:D20)</f>
        <v>27.633793333333333</v>
      </c>
      <c r="K8" s="2">
        <f>STDEV(B20:D20)</f>
        <v>1.6195083688062042</v>
      </c>
      <c r="L8" s="2">
        <f>K8/J8*100</f>
        <v>5.8606082388720342</v>
      </c>
    </row>
    <row r="9" spans="1:12" ht="15.75" x14ac:dyDescent="0.2">
      <c r="A9" s="1" t="s">
        <v>9</v>
      </c>
      <c r="B9" s="1">
        <v>2066.1580021060299</v>
      </c>
      <c r="C9" s="1">
        <v>1965.69270024312</v>
      </c>
      <c r="D9" s="1">
        <v>1843.33732389088</v>
      </c>
      <c r="E9" s="2">
        <f>AVERAGE(B9:D9)</f>
        <v>1958.3960087466767</v>
      </c>
      <c r="F9" s="2">
        <f>STDEV(B9:D9)</f>
        <v>111.58940335067906</v>
      </c>
      <c r="G9" s="2">
        <f>F9/E9*100</f>
        <v>5.6979999373106072</v>
      </c>
      <c r="I9" s="1" t="s">
        <v>17</v>
      </c>
      <c r="J9" s="2">
        <v>2122.4308797562667</v>
      </c>
      <c r="K9" s="2">
        <v>53.366185650580356</v>
      </c>
      <c r="L9" s="2">
        <v>2.5143898046144506</v>
      </c>
    </row>
    <row r="10" spans="1:12" ht="15.75" x14ac:dyDescent="0.2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4</v>
      </c>
      <c r="F10" s="1" t="s">
        <v>5</v>
      </c>
      <c r="G10" s="1" t="s">
        <v>6</v>
      </c>
      <c r="I10" s="1" t="s">
        <v>27</v>
      </c>
      <c r="J10" s="1" t="s">
        <v>4</v>
      </c>
      <c r="K10" s="1" t="s">
        <v>5</v>
      </c>
      <c r="L10" s="1" t="s">
        <v>6</v>
      </c>
    </row>
    <row r="11" spans="1:12" ht="15.75" x14ac:dyDescent="0.2">
      <c r="A11" s="2" t="s">
        <v>8</v>
      </c>
      <c r="B11" s="2">
        <v>42.243209999999998</v>
      </c>
      <c r="C11" s="2">
        <v>36.551180000000002</v>
      </c>
      <c r="D11" s="2">
        <v>35.776409999999998</v>
      </c>
      <c r="E11" s="2">
        <f>AVERAGE(B11:D11)</f>
        <v>38.190266666666666</v>
      </c>
      <c r="F11" s="2">
        <f>STDEV(B11:D11)</f>
        <v>3.5312645589977145</v>
      </c>
      <c r="G11" s="2">
        <f>F11/E11*100</f>
        <v>9.2465040629838882</v>
      </c>
      <c r="I11" s="2" t="s">
        <v>16</v>
      </c>
      <c r="J11" s="2">
        <f>AVERAGE(B8:D8,B20:D20,B14:D14,B11:D11,B17:D17,B5:D5,B2:D2)</f>
        <v>35.972147142857139</v>
      </c>
      <c r="K11" s="2">
        <f>STDEV(B8:D8,B14:D14,B20:D20)</f>
        <v>5.4306650280329558</v>
      </c>
      <c r="L11" s="2">
        <f>K11/J11*100</f>
        <v>15.096860930947525</v>
      </c>
    </row>
    <row r="12" spans="1:12" ht="15.75" x14ac:dyDescent="0.2">
      <c r="A12" s="1" t="s">
        <v>9</v>
      </c>
      <c r="B12" s="1">
        <v>2196.8599599528302</v>
      </c>
      <c r="C12" s="1">
        <v>2135.25757375694</v>
      </c>
      <c r="D12" s="1">
        <v>2287.4290122919801</v>
      </c>
      <c r="E12" s="2">
        <f>AVERAGE(B12:D12)</f>
        <v>2206.5155153339169</v>
      </c>
      <c r="F12" s="2">
        <f>STDEV(B12:D12)</f>
        <v>76.543837039593171</v>
      </c>
      <c r="G12" s="2">
        <f>F12/E12*100</f>
        <v>3.4689915619292444</v>
      </c>
      <c r="I12" s="1" t="s">
        <v>17</v>
      </c>
      <c r="J12" s="2">
        <f>AVERAGE(B3:D3,B9:D9,B6:D6,B12:D12,B15:D15,B18:D18,B21:D21)</f>
        <v>2113.1473435898133</v>
      </c>
      <c r="K12" s="2">
        <f>STDEV(B9:D9,B15:D15,B21:D21)</f>
        <v>104.89976784771588</v>
      </c>
      <c r="L12" s="2">
        <f>K12/J12*100</f>
        <v>4.964148295949502</v>
      </c>
    </row>
    <row r="13" spans="1:12" ht="15.75" x14ac:dyDescent="0.2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4</v>
      </c>
      <c r="F13" s="1" t="s">
        <v>5</v>
      </c>
      <c r="G13" s="1" t="s">
        <v>6</v>
      </c>
      <c r="J13" s="3"/>
      <c r="K13" s="3"/>
      <c r="L13" s="3"/>
    </row>
    <row r="14" spans="1:12" ht="15.75" x14ac:dyDescent="0.2">
      <c r="A14" s="2" t="s">
        <v>8</v>
      </c>
      <c r="B14" s="2">
        <v>36.933230000000002</v>
      </c>
      <c r="C14" s="2">
        <v>35.80583</v>
      </c>
      <c r="D14" s="2">
        <v>42.250419999999998</v>
      </c>
      <c r="E14" s="2">
        <f>AVERAGE(B14:D14)</f>
        <v>38.329826666666662</v>
      </c>
      <c r="F14" s="2">
        <f>STDEV(B14:D14)</f>
        <v>3.441808645760732</v>
      </c>
      <c r="G14" s="2">
        <f>F14/E14*100</f>
        <v>8.9794526745248326</v>
      </c>
      <c r="J14" s="4"/>
      <c r="K14" s="4"/>
      <c r="L14" s="4"/>
    </row>
    <row r="15" spans="1:12" ht="15.75" x14ac:dyDescent="0.2">
      <c r="A15" s="1" t="s">
        <v>9</v>
      </c>
      <c r="B15" s="1">
        <v>2107.1500287273702</v>
      </c>
      <c r="C15" s="1">
        <v>2086.03565924444</v>
      </c>
      <c r="D15" s="1">
        <v>1937.7223091702399</v>
      </c>
      <c r="E15" s="2">
        <f>AVERAGE(B15:D15)</f>
        <v>2043.6359990473502</v>
      </c>
      <c r="F15" s="2">
        <f>STDEV(B15:D15)</f>
        <v>92.329499225350091</v>
      </c>
      <c r="G15" s="2">
        <f>F15/E15*100</f>
        <v>4.5179033481691402</v>
      </c>
      <c r="J15" s="4"/>
      <c r="K15" s="4"/>
      <c r="L15" s="4"/>
    </row>
    <row r="16" spans="1:12" ht="15.75" x14ac:dyDescent="0.2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4</v>
      </c>
      <c r="F16" s="1" t="s">
        <v>5</v>
      </c>
      <c r="G16" s="1" t="s">
        <v>6</v>
      </c>
      <c r="J16" s="3"/>
      <c r="K16" s="3"/>
      <c r="L16" s="3"/>
    </row>
    <row r="17" spans="1:12" ht="15.75" x14ac:dyDescent="0.2">
      <c r="A17" s="2" t="s">
        <v>8</v>
      </c>
      <c r="B17" s="2">
        <v>42.250419999999998</v>
      </c>
      <c r="C17" s="2">
        <v>34.790840000000003</v>
      </c>
      <c r="D17" s="2">
        <v>28.79757</v>
      </c>
      <c r="E17" s="2">
        <f>AVERAGE(B17:D17)</f>
        <v>35.279609999999998</v>
      </c>
      <c r="F17" s="2">
        <f>STDEV(B17:D17)</f>
        <v>6.7397303629522218</v>
      </c>
      <c r="G17" s="2">
        <f>F17/E17*100</f>
        <v>19.103755293644749</v>
      </c>
      <c r="J17" s="4"/>
      <c r="K17" s="4"/>
      <c r="L17" s="4"/>
    </row>
    <row r="18" spans="1:12" ht="15.75" x14ac:dyDescent="0.2">
      <c r="A18" s="1" t="s">
        <v>9</v>
      </c>
      <c r="B18" s="1">
        <v>2183.4735736325702</v>
      </c>
      <c r="C18" s="1">
        <v>2226.8166933945499</v>
      </c>
      <c r="D18" s="1">
        <v>1909.64571309499</v>
      </c>
      <c r="E18" s="2">
        <f>AVERAGE(B18:D18)</f>
        <v>2106.6453267073698</v>
      </c>
      <c r="F18" s="2">
        <f>STDEV(B18:D18)</f>
        <v>171.9775925236936</v>
      </c>
      <c r="G18" s="2">
        <f>F18/E18*100</f>
        <v>8.1635760107986464</v>
      </c>
      <c r="J18" s="4"/>
      <c r="K18" s="4"/>
      <c r="L18" s="4"/>
    </row>
    <row r="19" spans="1:12" ht="15.75" x14ac:dyDescent="0.2">
      <c r="A19" s="1" t="s">
        <v>36</v>
      </c>
      <c r="B19" s="1" t="s">
        <v>37</v>
      </c>
      <c r="C19" s="1" t="s">
        <v>38</v>
      </c>
      <c r="D19" s="1" t="s">
        <v>39</v>
      </c>
      <c r="E19" s="1" t="s">
        <v>4</v>
      </c>
      <c r="F19" s="1" t="s">
        <v>5</v>
      </c>
      <c r="G19" s="1" t="s">
        <v>6</v>
      </c>
      <c r="J19" s="3"/>
      <c r="K19" s="3"/>
      <c r="L19" s="3"/>
    </row>
    <row r="20" spans="1:12" ht="15.75" x14ac:dyDescent="0.2">
      <c r="A20" s="2" t="s">
        <v>8</v>
      </c>
      <c r="B20" s="2">
        <v>28.79757</v>
      </c>
      <c r="C20" s="2">
        <v>28.319590000000002</v>
      </c>
      <c r="D20" s="2">
        <v>25.784220000000001</v>
      </c>
      <c r="E20" s="2">
        <f>AVERAGE(B20:D20)</f>
        <v>27.633793333333333</v>
      </c>
      <c r="F20" s="2">
        <f>STDEV(B20:D20)</f>
        <v>1.6195083688062042</v>
      </c>
      <c r="G20" s="2">
        <f>F20/E20*100</f>
        <v>5.8606082388720342</v>
      </c>
      <c r="J20" s="4"/>
      <c r="K20" s="4"/>
      <c r="L20" s="4"/>
    </row>
    <row r="21" spans="1:12" ht="15.75" x14ac:dyDescent="0.2">
      <c r="A21" s="1" t="s">
        <v>9</v>
      </c>
      <c r="B21" s="1">
        <v>2176.54274962316</v>
      </c>
      <c r="C21" s="1">
        <v>2120.9068645611301</v>
      </c>
      <c r="D21" s="1">
        <v>2069.8430250845099</v>
      </c>
      <c r="E21" s="2">
        <f>AVERAGE(B21:D21)</f>
        <v>2122.4308797562667</v>
      </c>
      <c r="F21" s="2">
        <f>STDEV(B21:D21)</f>
        <v>53.366185650580356</v>
      </c>
      <c r="G21" s="2">
        <f>F21/E21*100</f>
        <v>2.5143898046144506</v>
      </c>
      <c r="J21" s="4"/>
      <c r="K21" s="4"/>
      <c r="L21" s="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 property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2025-09-05T14:25:53Z</dcterms:created>
  <dcterms:modified xsi:type="dcterms:W3CDTF">2025-09-05T14:26:03Z</dcterms:modified>
</cp:coreProperties>
</file>