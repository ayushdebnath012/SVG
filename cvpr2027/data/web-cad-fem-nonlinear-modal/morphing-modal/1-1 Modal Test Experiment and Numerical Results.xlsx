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BaiduSyncdisk\论文投稿\20-AST-精细建模及参数化分析\AST1-建模分析\SM\"/>
    </mc:Choice>
  </mc:AlternateContent>
  <xr:revisionPtr revIDLastSave="0" documentId="8_{0A1FAA24-3A91-402C-87A4-5AEF61F03F2E}" xr6:coauthVersionLast="47" xr6:coauthVersionMax="47" xr10:uidLastSave="{00000000-0000-0000-0000-000000000000}"/>
  <bookViews>
    <workbookView xWindow="-120" yWindow="-120" windowWidth="38640" windowHeight="21120" xr2:uid="{912387E5-405B-41CF-865E-D1FD52D2F44B}"/>
  </bookViews>
  <sheets>
    <sheet name="Modal Test 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6" i="1" l="1"/>
  <c r="U136" i="1"/>
  <c r="R136" i="1"/>
  <c r="M136" i="1"/>
  <c r="L136" i="1"/>
  <c r="K136" i="1"/>
  <c r="H136" i="1"/>
  <c r="G136" i="1"/>
  <c r="D136" i="1"/>
  <c r="C136" i="1"/>
  <c r="X135" i="1"/>
  <c r="U135" i="1"/>
  <c r="R135" i="1"/>
  <c r="M135" i="1"/>
  <c r="L135" i="1"/>
  <c r="K135" i="1"/>
  <c r="H135" i="1"/>
  <c r="G135" i="1"/>
  <c r="D135" i="1"/>
  <c r="O135" i="1" s="1"/>
  <c r="C135" i="1"/>
  <c r="X134" i="1"/>
  <c r="Y134" i="1" s="1"/>
  <c r="U134" i="1"/>
  <c r="V134" i="1" s="1"/>
  <c r="R134" i="1"/>
  <c r="S134" i="1" s="1"/>
  <c r="N134" i="1"/>
  <c r="M134" i="1"/>
  <c r="L134" i="1"/>
  <c r="K134" i="1"/>
  <c r="D134" i="1"/>
  <c r="C134" i="1"/>
  <c r="X133" i="1"/>
  <c r="U133" i="1"/>
  <c r="R133" i="1"/>
  <c r="O133" i="1"/>
  <c r="N133" i="1"/>
  <c r="Y133" i="1" s="1"/>
  <c r="M133" i="1"/>
  <c r="L133" i="1"/>
  <c r="K133" i="1"/>
  <c r="H133" i="1"/>
  <c r="G133" i="1"/>
  <c r="D133" i="1"/>
  <c r="C133" i="1"/>
  <c r="X132" i="1"/>
  <c r="U132" i="1"/>
  <c r="R132" i="1"/>
  <c r="M132" i="1"/>
  <c r="L132" i="1"/>
  <c r="K132" i="1"/>
  <c r="H132" i="1"/>
  <c r="G132" i="1"/>
  <c r="D132" i="1"/>
  <c r="C132" i="1"/>
  <c r="X131" i="1"/>
  <c r="Y131" i="1" s="1"/>
  <c r="U131" i="1"/>
  <c r="V131" i="1" s="1"/>
  <c r="R131" i="1"/>
  <c r="M131" i="1"/>
  <c r="L131" i="1"/>
  <c r="K131" i="1"/>
  <c r="H131" i="1"/>
  <c r="G131" i="1"/>
  <c r="D131" i="1"/>
  <c r="N131" i="1" s="1"/>
  <c r="C131" i="1"/>
  <c r="X130" i="1"/>
  <c r="Y130" i="1" s="1"/>
  <c r="U130" i="1"/>
  <c r="V130" i="1" s="1"/>
  <c r="R130" i="1"/>
  <c r="S130" i="1" s="1"/>
  <c r="O130" i="1"/>
  <c r="P130" i="1" s="1"/>
  <c r="M130" i="1"/>
  <c r="L130" i="1"/>
  <c r="K130" i="1"/>
  <c r="H130" i="1"/>
  <c r="G130" i="1"/>
  <c r="D130" i="1"/>
  <c r="N130" i="1" s="1"/>
  <c r="C130" i="1"/>
  <c r="X129" i="1"/>
  <c r="U129" i="1"/>
  <c r="R129" i="1"/>
  <c r="M129" i="1"/>
  <c r="L129" i="1"/>
  <c r="O129" i="1" s="1"/>
  <c r="K129" i="1"/>
  <c r="H129" i="1"/>
  <c r="G129" i="1"/>
  <c r="D129" i="1"/>
  <c r="C129" i="1"/>
  <c r="X128" i="1"/>
  <c r="U128" i="1"/>
  <c r="R128" i="1"/>
  <c r="M128" i="1"/>
  <c r="L128" i="1"/>
  <c r="K128" i="1"/>
  <c r="H128" i="1"/>
  <c r="G128" i="1"/>
  <c r="D128" i="1"/>
  <c r="O128" i="1" s="1"/>
  <c r="C128" i="1"/>
  <c r="AE119" i="1"/>
  <c r="AB119" i="1"/>
  <c r="M119" i="1"/>
  <c r="L119" i="1"/>
  <c r="K119" i="1"/>
  <c r="H119" i="1"/>
  <c r="G119" i="1"/>
  <c r="D119" i="1"/>
  <c r="C119" i="1"/>
  <c r="AE118" i="1"/>
  <c r="AB118" i="1"/>
  <c r="W118" i="1"/>
  <c r="V118" i="1"/>
  <c r="U118" i="1"/>
  <c r="X118" i="1" s="1"/>
  <c r="M118" i="1"/>
  <c r="L118" i="1"/>
  <c r="K118" i="1"/>
  <c r="H118" i="1"/>
  <c r="G118" i="1"/>
  <c r="D118" i="1"/>
  <c r="C118" i="1"/>
  <c r="AH117" i="1"/>
  <c r="AE117" i="1"/>
  <c r="AB117" i="1"/>
  <c r="W117" i="1"/>
  <c r="V117" i="1"/>
  <c r="U117" i="1"/>
  <c r="X117" i="1" s="1"/>
  <c r="M117" i="1"/>
  <c r="L117" i="1"/>
  <c r="K117" i="1"/>
  <c r="H117" i="1"/>
  <c r="G117" i="1"/>
  <c r="D117" i="1"/>
  <c r="C117" i="1"/>
  <c r="AH116" i="1"/>
  <c r="AE116" i="1"/>
  <c r="AB116" i="1"/>
  <c r="X116" i="1"/>
  <c r="W116" i="1"/>
  <c r="V116" i="1"/>
  <c r="U116" i="1"/>
  <c r="M116" i="1"/>
  <c r="L116" i="1"/>
  <c r="K116" i="1"/>
  <c r="H116" i="1"/>
  <c r="G116" i="1"/>
  <c r="D116" i="1"/>
  <c r="C116" i="1"/>
  <c r="AH115" i="1"/>
  <c r="AE115" i="1"/>
  <c r="AB115" i="1"/>
  <c r="W115" i="1"/>
  <c r="V115" i="1"/>
  <c r="U115" i="1"/>
  <c r="X115" i="1" s="1"/>
  <c r="M115" i="1"/>
  <c r="L115" i="1"/>
  <c r="K115" i="1"/>
  <c r="H115" i="1"/>
  <c r="N115" i="1" s="1"/>
  <c r="Y115" i="1" s="1"/>
  <c r="Z115" i="1" s="1"/>
  <c r="G115" i="1"/>
  <c r="D115" i="1"/>
  <c r="C115" i="1"/>
  <c r="AH114" i="1"/>
  <c r="AE114" i="1"/>
  <c r="AB114" i="1"/>
  <c r="W114" i="1"/>
  <c r="V114" i="1"/>
  <c r="U114" i="1"/>
  <c r="X114" i="1" s="1"/>
  <c r="M114" i="1"/>
  <c r="L114" i="1"/>
  <c r="K114" i="1"/>
  <c r="H114" i="1"/>
  <c r="N114" i="1" s="1"/>
  <c r="G114" i="1"/>
  <c r="D114" i="1"/>
  <c r="C114" i="1"/>
  <c r="AH113" i="1"/>
  <c r="AE113" i="1"/>
  <c r="AB113" i="1"/>
  <c r="W113" i="1"/>
  <c r="U113" i="1"/>
  <c r="X113" i="1" s="1"/>
  <c r="M113" i="1"/>
  <c r="L113" i="1"/>
  <c r="K113" i="1"/>
  <c r="H113" i="1"/>
  <c r="N113" i="1" s="1"/>
  <c r="G113" i="1"/>
  <c r="D113" i="1"/>
  <c r="C113" i="1"/>
  <c r="AH112" i="1"/>
  <c r="AE112" i="1"/>
  <c r="AB112" i="1"/>
  <c r="W112" i="1"/>
  <c r="V112" i="1"/>
  <c r="U112" i="1"/>
  <c r="X112" i="1" s="1"/>
  <c r="M112" i="1"/>
  <c r="L112" i="1"/>
  <c r="O112" i="1" s="1"/>
  <c r="K112" i="1"/>
  <c r="H112" i="1"/>
  <c r="G112" i="1"/>
  <c r="D112" i="1"/>
  <c r="C112" i="1"/>
  <c r="U103" i="1"/>
  <c r="R103" i="1"/>
  <c r="M103" i="1"/>
  <c r="L103" i="1"/>
  <c r="K103" i="1"/>
  <c r="H103" i="1"/>
  <c r="G103" i="1"/>
  <c r="D103" i="1"/>
  <c r="O103" i="1" s="1"/>
  <c r="C103" i="1"/>
  <c r="X102" i="1"/>
  <c r="U102" i="1"/>
  <c r="R102" i="1"/>
  <c r="M102" i="1"/>
  <c r="L102" i="1"/>
  <c r="K102" i="1"/>
  <c r="H102" i="1"/>
  <c r="G102" i="1"/>
  <c r="D102" i="1"/>
  <c r="C102" i="1"/>
  <c r="X101" i="1"/>
  <c r="U101" i="1"/>
  <c r="R101" i="1"/>
  <c r="M101" i="1"/>
  <c r="L101" i="1"/>
  <c r="K101" i="1"/>
  <c r="H101" i="1"/>
  <c r="G101" i="1"/>
  <c r="D101" i="1"/>
  <c r="O101" i="1" s="1"/>
  <c r="C101" i="1"/>
  <c r="X100" i="1"/>
  <c r="U100" i="1"/>
  <c r="V100" i="1" s="1"/>
  <c r="R100" i="1"/>
  <c r="S100" i="1" s="1"/>
  <c r="O100" i="1"/>
  <c r="P100" i="1" s="1"/>
  <c r="N100" i="1"/>
  <c r="M100" i="1"/>
  <c r="L100" i="1"/>
  <c r="K100" i="1"/>
  <c r="H100" i="1"/>
  <c r="G100" i="1"/>
  <c r="D100" i="1"/>
  <c r="C100" i="1"/>
  <c r="X99" i="1"/>
  <c r="U99" i="1"/>
  <c r="R99" i="1"/>
  <c r="M99" i="1"/>
  <c r="L99" i="1"/>
  <c r="K99" i="1"/>
  <c r="H99" i="1"/>
  <c r="O99" i="1" s="1"/>
  <c r="G99" i="1"/>
  <c r="D99" i="1"/>
  <c r="C99" i="1"/>
  <c r="X98" i="1"/>
  <c r="U98" i="1"/>
  <c r="R98" i="1"/>
  <c r="M98" i="1"/>
  <c r="L98" i="1"/>
  <c r="K98" i="1"/>
  <c r="H98" i="1"/>
  <c r="G98" i="1"/>
  <c r="D98" i="1"/>
  <c r="C98" i="1"/>
  <c r="X97" i="1"/>
  <c r="U97" i="1"/>
  <c r="R97" i="1"/>
  <c r="M97" i="1"/>
  <c r="L97" i="1"/>
  <c r="K97" i="1"/>
  <c r="H97" i="1"/>
  <c r="G97" i="1"/>
  <c r="D97" i="1"/>
  <c r="C97" i="1"/>
  <c r="AE88" i="1"/>
  <c r="AB88" i="1"/>
  <c r="AF87" i="1"/>
  <c r="AE87" i="1"/>
  <c r="AB87" i="1"/>
  <c r="M87" i="1"/>
  <c r="L87" i="1"/>
  <c r="K87" i="1"/>
  <c r="H87" i="1"/>
  <c r="G87" i="1"/>
  <c r="D87" i="1"/>
  <c r="O87" i="1" s="1"/>
  <c r="C87" i="1"/>
  <c r="AH86" i="1"/>
  <c r="AI86" i="1" s="1"/>
  <c r="AF86" i="1"/>
  <c r="AE86" i="1"/>
  <c r="AB86" i="1"/>
  <c r="AC86" i="1" s="1"/>
  <c r="Y86" i="1"/>
  <c r="Z86" i="1" s="1"/>
  <c r="X86" i="1"/>
  <c r="W86" i="1"/>
  <c r="V86" i="1"/>
  <c r="U86" i="1"/>
  <c r="M86" i="1"/>
  <c r="L86" i="1"/>
  <c r="K86" i="1"/>
  <c r="H86" i="1"/>
  <c r="G86" i="1"/>
  <c r="D86" i="1"/>
  <c r="N86" i="1" s="1"/>
  <c r="C86" i="1"/>
  <c r="AE85" i="1"/>
  <c r="AB85" i="1"/>
  <c r="L85" i="1"/>
  <c r="K85" i="1"/>
  <c r="AH84" i="1"/>
  <c r="AE84" i="1"/>
  <c r="AB84" i="1"/>
  <c r="X84" i="1"/>
  <c r="W84" i="1"/>
  <c r="V84" i="1"/>
  <c r="U84" i="1"/>
  <c r="M84" i="1"/>
  <c r="L84" i="1"/>
  <c r="K84" i="1"/>
  <c r="H84" i="1"/>
  <c r="G84" i="1"/>
  <c r="D84" i="1"/>
  <c r="C84" i="1"/>
  <c r="AH83" i="1"/>
  <c r="AE83" i="1"/>
  <c r="AB83" i="1"/>
  <c r="W83" i="1"/>
  <c r="V83" i="1"/>
  <c r="U83" i="1"/>
  <c r="X83" i="1" s="1"/>
  <c r="M83" i="1"/>
  <c r="L83" i="1"/>
  <c r="K83" i="1"/>
  <c r="H83" i="1"/>
  <c r="G83" i="1"/>
  <c r="D83" i="1"/>
  <c r="N83" i="1" s="1"/>
  <c r="Y83" i="1" s="1"/>
  <c r="Z83" i="1" s="1"/>
  <c r="C83" i="1"/>
  <c r="AH82" i="1"/>
  <c r="AE82" i="1"/>
  <c r="AB82" i="1"/>
  <c r="W82" i="1"/>
  <c r="V82" i="1"/>
  <c r="U82" i="1"/>
  <c r="X82" i="1" s="1"/>
  <c r="M82" i="1"/>
  <c r="L82" i="1"/>
  <c r="K82" i="1"/>
  <c r="H82" i="1"/>
  <c r="O82" i="1" s="1"/>
  <c r="G82" i="1"/>
  <c r="D82" i="1"/>
  <c r="C82" i="1"/>
  <c r="AH81" i="1"/>
  <c r="AE81" i="1"/>
  <c r="AB81" i="1"/>
  <c r="W81" i="1"/>
  <c r="V81" i="1"/>
  <c r="U81" i="1"/>
  <c r="X81" i="1" s="1"/>
  <c r="M81" i="1"/>
  <c r="L81" i="1"/>
  <c r="O81" i="1" s="1"/>
  <c r="K81" i="1"/>
  <c r="H81" i="1"/>
  <c r="G81" i="1"/>
  <c r="D81" i="1"/>
  <c r="C81" i="1"/>
  <c r="AH80" i="1"/>
  <c r="AE80" i="1"/>
  <c r="AF80" i="1" s="1"/>
  <c r="AB80" i="1"/>
  <c r="AC80" i="1" s="1"/>
  <c r="Y80" i="1"/>
  <c r="W80" i="1"/>
  <c r="V80" i="1"/>
  <c r="U80" i="1"/>
  <c r="X80" i="1" s="1"/>
  <c r="O80" i="1"/>
  <c r="P80" i="1" s="1"/>
  <c r="N80" i="1"/>
  <c r="AI80" i="1" s="1"/>
  <c r="M80" i="1"/>
  <c r="L80" i="1"/>
  <c r="K80" i="1"/>
  <c r="H80" i="1"/>
  <c r="G80" i="1"/>
  <c r="D80" i="1"/>
  <c r="C80" i="1"/>
  <c r="AH79" i="1"/>
  <c r="AI79" i="1" s="1"/>
  <c r="AE79" i="1"/>
  <c r="AF79" i="1" s="1"/>
  <c r="AB79" i="1"/>
  <c r="AC79" i="1" s="1"/>
  <c r="Y79" i="1"/>
  <c r="W79" i="1"/>
  <c r="V79" i="1"/>
  <c r="U79" i="1"/>
  <c r="X79" i="1" s="1"/>
  <c r="P79" i="1"/>
  <c r="O79" i="1"/>
  <c r="M79" i="1"/>
  <c r="L79" i="1"/>
  <c r="K79" i="1"/>
  <c r="H79" i="1"/>
  <c r="G79" i="1"/>
  <c r="D79" i="1"/>
  <c r="N79" i="1" s="1"/>
  <c r="C79" i="1"/>
  <c r="AH78" i="1"/>
  <c r="AE78" i="1"/>
  <c r="AB78" i="1"/>
  <c r="W78" i="1"/>
  <c r="V78" i="1"/>
  <c r="U78" i="1"/>
  <c r="X78" i="1" s="1"/>
  <c r="M78" i="1"/>
  <c r="L78" i="1"/>
  <c r="K78" i="1"/>
  <c r="H78" i="1"/>
  <c r="G78" i="1"/>
  <c r="D78" i="1"/>
  <c r="O78" i="1" s="1"/>
  <c r="C78" i="1"/>
  <c r="AH77" i="1"/>
  <c r="AE77" i="1"/>
  <c r="AB77" i="1"/>
  <c r="X77" i="1"/>
  <c r="W77" i="1"/>
  <c r="V77" i="1"/>
  <c r="U77" i="1"/>
  <c r="M77" i="1"/>
  <c r="L77" i="1"/>
  <c r="K77" i="1"/>
  <c r="H77" i="1"/>
  <c r="G77" i="1"/>
  <c r="D77" i="1"/>
  <c r="C77" i="1"/>
  <c r="Q68" i="1"/>
  <c r="N68" i="1"/>
  <c r="O68" i="1" s="1"/>
  <c r="C68" i="1"/>
  <c r="U67" i="1"/>
  <c r="R67" i="1"/>
  <c r="L67" i="1"/>
  <c r="K67" i="1"/>
  <c r="H67" i="1"/>
  <c r="G67" i="1"/>
  <c r="D67" i="1"/>
  <c r="C67" i="1"/>
  <c r="U66" i="1"/>
  <c r="R66" i="1"/>
  <c r="M66" i="1"/>
  <c r="L66" i="1"/>
  <c r="K66" i="1"/>
  <c r="H66" i="1"/>
  <c r="G66" i="1"/>
  <c r="D66" i="1"/>
  <c r="C66" i="1"/>
  <c r="X65" i="1"/>
  <c r="U65" i="1"/>
  <c r="R65" i="1"/>
  <c r="M65" i="1"/>
  <c r="L65" i="1"/>
  <c r="K65" i="1"/>
  <c r="H65" i="1"/>
  <c r="G65" i="1"/>
  <c r="D65" i="1"/>
  <c r="C65" i="1"/>
  <c r="X64" i="1"/>
  <c r="U64" i="1"/>
  <c r="R64" i="1"/>
  <c r="M64" i="1"/>
  <c r="L64" i="1"/>
  <c r="K64" i="1"/>
  <c r="H64" i="1"/>
  <c r="G64" i="1"/>
  <c r="D64" i="1"/>
  <c r="O64" i="1" s="1"/>
  <c r="C64" i="1"/>
  <c r="X63" i="1"/>
  <c r="U63" i="1"/>
  <c r="R63" i="1"/>
  <c r="M63" i="1"/>
  <c r="L63" i="1"/>
  <c r="O63" i="1" s="1"/>
  <c r="K63" i="1"/>
  <c r="H63" i="1"/>
  <c r="G63" i="1"/>
  <c r="D63" i="1"/>
  <c r="C63" i="1"/>
  <c r="X62" i="1"/>
  <c r="U62" i="1"/>
  <c r="R62" i="1"/>
  <c r="M62" i="1"/>
  <c r="L62" i="1"/>
  <c r="K62" i="1"/>
  <c r="H62" i="1"/>
  <c r="G62" i="1"/>
  <c r="D62" i="1"/>
  <c r="N62" i="1" s="1"/>
  <c r="C62" i="1"/>
  <c r="X61" i="1"/>
  <c r="U61" i="1"/>
  <c r="R61" i="1"/>
  <c r="M61" i="1"/>
  <c r="L61" i="1"/>
  <c r="K61" i="1"/>
  <c r="H61" i="1"/>
  <c r="G61" i="1"/>
  <c r="D61" i="1"/>
  <c r="C61" i="1"/>
  <c r="X60" i="1"/>
  <c r="U60" i="1"/>
  <c r="R60" i="1"/>
  <c r="M60" i="1"/>
  <c r="L60" i="1"/>
  <c r="K60" i="1"/>
  <c r="H60" i="1"/>
  <c r="G60" i="1"/>
  <c r="D60" i="1"/>
  <c r="C60" i="1"/>
  <c r="Y51" i="1"/>
  <c r="X51" i="1"/>
  <c r="U51" i="1"/>
  <c r="V51" i="1" s="1"/>
  <c r="R51" i="1"/>
  <c r="S51" i="1" s="1"/>
  <c r="N51" i="1"/>
  <c r="M51" i="1"/>
  <c r="L51" i="1"/>
  <c r="O51" i="1" s="1"/>
  <c r="P51" i="1" s="1"/>
  <c r="K51" i="1"/>
  <c r="H51" i="1"/>
  <c r="G51" i="1"/>
  <c r="D51" i="1"/>
  <c r="C51" i="1"/>
  <c r="X50" i="1"/>
  <c r="U50" i="1"/>
  <c r="R50" i="1"/>
  <c r="M50" i="1"/>
  <c r="L50" i="1"/>
  <c r="O50" i="1" s="1"/>
  <c r="K50" i="1"/>
  <c r="H50" i="1"/>
  <c r="G50" i="1"/>
  <c r="D50" i="1"/>
  <c r="C50" i="1"/>
  <c r="X49" i="1"/>
  <c r="U49" i="1"/>
  <c r="R49" i="1"/>
  <c r="M49" i="1"/>
  <c r="L49" i="1"/>
  <c r="O49" i="1" s="1"/>
  <c r="K49" i="1"/>
  <c r="H49" i="1"/>
  <c r="N49" i="1" s="1"/>
  <c r="G49" i="1"/>
  <c r="D49" i="1"/>
  <c r="C49" i="1"/>
  <c r="X48" i="1"/>
  <c r="U48" i="1"/>
  <c r="R48" i="1"/>
  <c r="M48" i="1"/>
  <c r="L48" i="1"/>
  <c r="K48" i="1"/>
  <c r="H48" i="1"/>
  <c r="N48" i="1" s="1"/>
  <c r="Y48" i="1" s="1"/>
  <c r="G48" i="1"/>
  <c r="D48" i="1"/>
  <c r="C48" i="1"/>
  <c r="X47" i="1"/>
  <c r="U47" i="1"/>
  <c r="R47" i="1"/>
  <c r="M47" i="1"/>
  <c r="L47" i="1"/>
  <c r="K47" i="1"/>
  <c r="H47" i="1"/>
  <c r="O47" i="1" s="1"/>
  <c r="G47" i="1"/>
  <c r="D47" i="1"/>
  <c r="C47" i="1"/>
  <c r="X46" i="1"/>
  <c r="U46" i="1"/>
  <c r="R46" i="1"/>
  <c r="M46" i="1"/>
  <c r="L46" i="1"/>
  <c r="O46" i="1" s="1"/>
  <c r="K46" i="1"/>
  <c r="H46" i="1"/>
  <c r="G46" i="1"/>
  <c r="D46" i="1"/>
  <c r="C46" i="1"/>
  <c r="BC37" i="1"/>
  <c r="BA37" i="1"/>
  <c r="AV37" i="1"/>
  <c r="AW37" i="1" s="1"/>
  <c r="AS37" i="1"/>
  <c r="AT37" i="1" s="1"/>
  <c r="AQ37" i="1"/>
  <c r="AP37" i="1"/>
  <c r="AN37" i="1"/>
  <c r="AM37" i="1"/>
  <c r="AK37" i="1"/>
  <c r="AJ37" i="1"/>
  <c r="AG37" i="1"/>
  <c r="AD37" i="1"/>
  <c r="W37" i="1"/>
  <c r="V37" i="1"/>
  <c r="U37" i="1"/>
  <c r="X37" i="1" s="1"/>
  <c r="O37" i="1"/>
  <c r="P37" i="1" s="1"/>
  <c r="N37" i="1"/>
  <c r="M37" i="1"/>
  <c r="AY37" i="1" s="1"/>
  <c r="L37" i="1"/>
  <c r="K37" i="1"/>
  <c r="H37" i="1"/>
  <c r="G37" i="1"/>
  <c r="D37" i="1"/>
  <c r="C37" i="1"/>
  <c r="BC36" i="1"/>
  <c r="BA36" i="1"/>
  <c r="AV36" i="1"/>
  <c r="AS36" i="1"/>
  <c r="AQ36" i="1"/>
  <c r="AP36" i="1"/>
  <c r="AN36" i="1"/>
  <c r="AM36" i="1"/>
  <c r="AK36" i="1"/>
  <c r="AJ36" i="1"/>
  <c r="AG36" i="1"/>
  <c r="AD36" i="1"/>
  <c r="X36" i="1"/>
  <c r="W36" i="1"/>
  <c r="U36" i="1"/>
  <c r="M36" i="1"/>
  <c r="AY36" i="1" s="1"/>
  <c r="L36" i="1"/>
  <c r="K36" i="1"/>
  <c r="H36" i="1"/>
  <c r="G36" i="1"/>
  <c r="D36" i="1"/>
  <c r="C36" i="1"/>
  <c r="BC35" i="1"/>
  <c r="BA35" i="1"/>
  <c r="AY35" i="1"/>
  <c r="AV35" i="1"/>
  <c r="AS35" i="1"/>
  <c r="AQ35" i="1"/>
  <c r="AP35" i="1"/>
  <c r="AN35" i="1"/>
  <c r="AM35" i="1"/>
  <c r="AK35" i="1"/>
  <c r="AJ35" i="1"/>
  <c r="AG35" i="1"/>
  <c r="AD35" i="1"/>
  <c r="W35" i="1"/>
  <c r="U35" i="1"/>
  <c r="X35" i="1" s="1"/>
  <c r="M35" i="1"/>
  <c r="L35" i="1"/>
  <c r="K35" i="1"/>
  <c r="H35" i="1"/>
  <c r="G35" i="1"/>
  <c r="D35" i="1"/>
  <c r="O35" i="1" s="1"/>
  <c r="C35" i="1"/>
  <c r="BC34" i="1"/>
  <c r="BA34" i="1"/>
  <c r="AV34" i="1"/>
  <c r="AW34" i="1" s="1"/>
  <c r="AS34" i="1"/>
  <c r="AT34" i="1" s="1"/>
  <c r="AQ34" i="1"/>
  <c r="AP34" i="1"/>
  <c r="AN34" i="1"/>
  <c r="AM34" i="1"/>
  <c r="AK34" i="1"/>
  <c r="AJ34" i="1"/>
  <c r="AG34" i="1"/>
  <c r="AD34" i="1"/>
  <c r="W34" i="1"/>
  <c r="V34" i="1"/>
  <c r="U34" i="1"/>
  <c r="X34" i="1" s="1"/>
  <c r="O34" i="1"/>
  <c r="M34" i="1"/>
  <c r="AY34" i="1" s="1"/>
  <c r="L34" i="1"/>
  <c r="K34" i="1"/>
  <c r="H34" i="1"/>
  <c r="N34" i="1" s="1"/>
  <c r="G34" i="1"/>
  <c r="D34" i="1"/>
  <c r="C34" i="1"/>
  <c r="BC33" i="1"/>
  <c r="BA33" i="1"/>
  <c r="AV33" i="1"/>
  <c r="AS33" i="1"/>
  <c r="AQ33" i="1"/>
  <c r="AP33" i="1"/>
  <c r="AN33" i="1"/>
  <c r="AM33" i="1"/>
  <c r="AK33" i="1"/>
  <c r="AJ33" i="1"/>
  <c r="AG33" i="1"/>
  <c r="AD33" i="1"/>
  <c r="X33" i="1"/>
  <c r="W33" i="1"/>
  <c r="V33" i="1"/>
  <c r="U33" i="1"/>
  <c r="M33" i="1"/>
  <c r="AY33" i="1" s="1"/>
  <c r="L33" i="1"/>
  <c r="K33" i="1"/>
  <c r="H33" i="1"/>
  <c r="G33" i="1"/>
  <c r="D33" i="1"/>
  <c r="C33" i="1"/>
  <c r="AU24" i="1"/>
  <c r="AV24" i="1" s="1"/>
  <c r="AO24" i="1"/>
  <c r="AN24" i="1"/>
  <c r="AK24" i="1"/>
  <c r="AH24" i="1"/>
  <c r="AI24" i="1" s="1"/>
  <c r="AE24" i="1"/>
  <c r="AF24" i="1" s="1"/>
  <c r="W24" i="1"/>
  <c r="V24" i="1"/>
  <c r="U24" i="1"/>
  <c r="X24" i="1" s="1"/>
  <c r="AL24" i="1" s="1"/>
  <c r="AU23" i="1"/>
  <c r="AV23" i="1" s="1"/>
  <c r="AN23" i="1"/>
  <c r="AO23" i="1" s="1"/>
  <c r="AK23" i="1"/>
  <c r="AL23" i="1" s="1"/>
  <c r="AH23" i="1"/>
  <c r="AI23" i="1" s="1"/>
  <c r="AE23" i="1"/>
  <c r="W23" i="1"/>
  <c r="V23" i="1"/>
  <c r="U23" i="1"/>
  <c r="X23" i="1" s="1"/>
  <c r="AF23" i="1" s="1"/>
  <c r="AU22" i="1"/>
  <c r="AS22" i="1"/>
  <c r="AQ22" i="1"/>
  <c r="AN22" i="1"/>
  <c r="AK22" i="1"/>
  <c r="AH22" i="1"/>
  <c r="AE22" i="1"/>
  <c r="X22" i="1"/>
  <c r="W22" i="1"/>
  <c r="V22" i="1"/>
  <c r="U22" i="1"/>
  <c r="M22" i="1"/>
  <c r="L22" i="1"/>
  <c r="K22" i="1"/>
  <c r="H22" i="1"/>
  <c r="G22" i="1"/>
  <c r="D22" i="1"/>
  <c r="C22" i="1"/>
  <c r="AU21" i="1"/>
  <c r="AN21" i="1"/>
  <c r="AO21" i="1" s="1"/>
  <c r="AK21" i="1"/>
  <c r="AH21" i="1"/>
  <c r="AE21" i="1"/>
  <c r="W21" i="1"/>
  <c r="V21" i="1"/>
  <c r="U21" i="1"/>
  <c r="X21" i="1" s="1"/>
  <c r="M21" i="1"/>
  <c r="AS21" i="1" s="1"/>
  <c r="L21" i="1"/>
  <c r="K21" i="1"/>
  <c r="H21" i="1"/>
  <c r="N21" i="1" s="1"/>
  <c r="G21" i="1"/>
  <c r="D21" i="1"/>
  <c r="C21" i="1"/>
  <c r="AU20" i="1"/>
  <c r="AS20" i="1"/>
  <c r="AQ20" i="1"/>
  <c r="AN20" i="1"/>
  <c r="AK20" i="1"/>
  <c r="AH20" i="1"/>
  <c r="AE20" i="1"/>
  <c r="W20" i="1"/>
  <c r="V20" i="1"/>
  <c r="U20" i="1"/>
  <c r="X20" i="1" s="1"/>
  <c r="M20" i="1"/>
  <c r="L20" i="1"/>
  <c r="K20" i="1"/>
  <c r="H20" i="1"/>
  <c r="G20" i="1"/>
  <c r="D20" i="1"/>
  <c r="O20" i="1" s="1"/>
  <c r="C20" i="1"/>
  <c r="AU19" i="1"/>
  <c r="AN19" i="1"/>
  <c r="AK19" i="1"/>
  <c r="AH19" i="1"/>
  <c r="AE19" i="1"/>
  <c r="X19" i="1"/>
  <c r="W19" i="1"/>
  <c r="V19" i="1"/>
  <c r="U19" i="1"/>
  <c r="M19" i="1"/>
  <c r="AQ19" i="1" s="1"/>
  <c r="L19" i="1"/>
  <c r="K19" i="1"/>
  <c r="H19" i="1"/>
  <c r="G19" i="1"/>
  <c r="D19" i="1"/>
  <c r="C19" i="1"/>
  <c r="AU18" i="1"/>
  <c r="AV18" i="1" s="1"/>
  <c r="AS18" i="1"/>
  <c r="AN18" i="1"/>
  <c r="AK18" i="1"/>
  <c r="AL18" i="1" s="1"/>
  <c r="AH18" i="1"/>
  <c r="AI18" i="1" s="1"/>
  <c r="AE18" i="1"/>
  <c r="AF18" i="1" s="1"/>
  <c r="Y18" i="1"/>
  <c r="W18" i="1"/>
  <c r="V18" i="1"/>
  <c r="U18" i="1"/>
  <c r="X18" i="1" s="1"/>
  <c r="O18" i="1"/>
  <c r="P18" i="1" s="1"/>
  <c r="N18" i="1"/>
  <c r="M18" i="1"/>
  <c r="AQ18" i="1" s="1"/>
  <c r="L18" i="1"/>
  <c r="K18" i="1"/>
  <c r="H18" i="1"/>
  <c r="G18" i="1"/>
  <c r="D18" i="1"/>
  <c r="C18" i="1"/>
  <c r="AJ9" i="1"/>
  <c r="W9" i="1"/>
  <c r="T9" i="1"/>
  <c r="L9" i="1"/>
  <c r="K9" i="1"/>
  <c r="AJ8" i="1"/>
  <c r="AH8" i="1"/>
  <c r="AF8" i="1"/>
  <c r="AC8" i="1"/>
  <c r="Z8" i="1"/>
  <c r="W8" i="1"/>
  <c r="T8" i="1"/>
  <c r="R8" i="1"/>
  <c r="M8" i="1"/>
  <c r="L8" i="1"/>
  <c r="K8" i="1"/>
  <c r="H8" i="1"/>
  <c r="G8" i="1"/>
  <c r="D8" i="1"/>
  <c r="C8" i="1"/>
  <c r="AJ7" i="1"/>
  <c r="AH7" i="1"/>
  <c r="AF7" i="1"/>
  <c r="AC7" i="1"/>
  <c r="Z7" i="1"/>
  <c r="W7" i="1"/>
  <c r="T7" i="1"/>
  <c r="R7" i="1"/>
  <c r="M7" i="1"/>
  <c r="L7" i="1"/>
  <c r="K7" i="1"/>
  <c r="H7" i="1"/>
  <c r="G7" i="1"/>
  <c r="D7" i="1"/>
  <c r="C7" i="1"/>
  <c r="AJ6" i="1"/>
  <c r="AK6" i="1" s="1"/>
  <c r="AH6" i="1"/>
  <c r="AF6" i="1"/>
  <c r="AC6" i="1"/>
  <c r="Z6" i="1"/>
  <c r="W6" i="1"/>
  <c r="T6" i="1"/>
  <c r="R6" i="1"/>
  <c r="O6" i="1"/>
  <c r="M6" i="1"/>
  <c r="L6" i="1"/>
  <c r="K6" i="1"/>
  <c r="H6" i="1"/>
  <c r="G6" i="1"/>
  <c r="D6" i="1"/>
  <c r="N6" i="1" s="1"/>
  <c r="X6" i="1" s="1"/>
  <c r="C6" i="1"/>
  <c r="AJ5" i="1"/>
  <c r="AC5" i="1"/>
  <c r="Z5" i="1"/>
  <c r="W5" i="1"/>
  <c r="T5" i="1"/>
  <c r="R5" i="1"/>
  <c r="M5" i="1"/>
  <c r="L5" i="1"/>
  <c r="O5" i="1" s="1"/>
  <c r="K5" i="1"/>
  <c r="H5" i="1"/>
  <c r="G5" i="1"/>
  <c r="D5" i="1"/>
  <c r="C5" i="1"/>
  <c r="AJ4" i="1"/>
  <c r="AC4" i="1"/>
  <c r="Z4" i="1"/>
  <c r="W4" i="1"/>
  <c r="T4" i="1"/>
  <c r="R4" i="1"/>
  <c r="M4" i="1"/>
  <c r="L4" i="1"/>
  <c r="N4" i="1" s="1"/>
  <c r="K4" i="1"/>
  <c r="H4" i="1"/>
  <c r="G4" i="1"/>
  <c r="D4" i="1"/>
  <c r="C4" i="1"/>
  <c r="P128" i="1" l="1"/>
  <c r="Z79" i="1"/>
  <c r="AI22" i="1"/>
  <c r="Y46" i="1"/>
  <c r="S64" i="1"/>
  <c r="S129" i="1"/>
  <c r="P49" i="1"/>
  <c r="P34" i="1"/>
  <c r="Y65" i="1"/>
  <c r="P112" i="1"/>
  <c r="AK7" i="1"/>
  <c r="U4" i="1"/>
  <c r="AK8" i="1"/>
  <c r="Y47" i="1"/>
  <c r="AE35" i="1"/>
  <c r="P46" i="1"/>
  <c r="AC114" i="1"/>
  <c r="Y114" i="1"/>
  <c r="Z114" i="1" s="1"/>
  <c r="AC118" i="1"/>
  <c r="Y34" i="1"/>
  <c r="Z34" i="1"/>
  <c r="AD8" i="1"/>
  <c r="AI21" i="1"/>
  <c r="Z21" i="1"/>
  <c r="Y21" i="1"/>
  <c r="AV21" i="1"/>
  <c r="AL21" i="1"/>
  <c r="AF118" i="1"/>
  <c r="V50" i="1"/>
  <c r="Y60" i="1"/>
  <c r="AC117" i="1"/>
  <c r="Y113" i="1"/>
  <c r="Z113" i="1" s="1"/>
  <c r="AF113" i="1"/>
  <c r="X4" i="1"/>
  <c r="AI83" i="1"/>
  <c r="V63" i="1"/>
  <c r="AF22" i="1"/>
  <c r="P5" i="1"/>
  <c r="AH36" i="1"/>
  <c r="AI115" i="1"/>
  <c r="AO22" i="1"/>
  <c r="O60" i="1"/>
  <c r="P60" i="1" s="1"/>
  <c r="N60" i="1"/>
  <c r="O119" i="1"/>
  <c r="N119" i="1"/>
  <c r="AD6" i="1"/>
  <c r="AE34" i="1"/>
  <c r="BD37" i="1"/>
  <c r="N5" i="1"/>
  <c r="AK5" i="1" s="1"/>
  <c r="N63" i="1"/>
  <c r="P63" i="1" s="1"/>
  <c r="P133" i="1"/>
  <c r="AW35" i="1"/>
  <c r="AC112" i="1"/>
  <c r="O132" i="1"/>
  <c r="N132" i="1"/>
  <c r="S132" i="1" s="1"/>
  <c r="O21" i="1"/>
  <c r="P21" i="1" s="1"/>
  <c r="AT33" i="1"/>
  <c r="O83" i="1"/>
  <c r="P83" i="1" s="1"/>
  <c r="S103" i="1"/>
  <c r="AW33" i="1"/>
  <c r="N36" i="1"/>
  <c r="O36" i="1"/>
  <c r="P36" i="1" s="1"/>
  <c r="AC115" i="1"/>
  <c r="AF21" i="1"/>
  <c r="N82" i="1"/>
  <c r="AF115" i="1"/>
  <c r="AK4" i="1"/>
  <c r="N19" i="1"/>
  <c r="AI19" i="1" s="1"/>
  <c r="O19" i="1"/>
  <c r="P19" i="1" s="1"/>
  <c r="V48" i="1"/>
  <c r="N81" i="1"/>
  <c r="V97" i="1"/>
  <c r="N99" i="1"/>
  <c r="S99" i="1" s="1"/>
  <c r="O113" i="1"/>
  <c r="P113" i="1" s="1"/>
  <c r="O116" i="1"/>
  <c r="N116" i="1"/>
  <c r="Y116" i="1" s="1"/>
  <c r="Z116" i="1" s="1"/>
  <c r="V129" i="1"/>
  <c r="S66" i="1"/>
  <c r="Z80" i="1"/>
  <c r="O4" i="1"/>
  <c r="P4" i="1" s="1"/>
  <c r="O65" i="1"/>
  <c r="N65" i="1"/>
  <c r="S98" i="1"/>
  <c r="AF112" i="1"/>
  <c r="AH34" i="1"/>
  <c r="O115" i="1"/>
  <c r="P115" i="1" s="1"/>
  <c r="O33" i="1"/>
  <c r="N33" i="1"/>
  <c r="AC119" i="1"/>
  <c r="AW36" i="1"/>
  <c r="N102" i="1"/>
  <c r="O102" i="1"/>
  <c r="O114" i="1"/>
  <c r="P114" i="1" s="1"/>
  <c r="AF119" i="1"/>
  <c r="N7" i="1"/>
  <c r="O7" i="1"/>
  <c r="P7" i="1" s="1"/>
  <c r="O136" i="1"/>
  <c r="P136" i="1" s="1"/>
  <c r="N136" i="1"/>
  <c r="S136" i="1" s="1"/>
  <c r="S62" i="1"/>
  <c r="AD4" i="1"/>
  <c r="AF83" i="1"/>
  <c r="AF114" i="1"/>
  <c r="Y37" i="1"/>
  <c r="Z37" i="1"/>
  <c r="AH4" i="1"/>
  <c r="AF4" i="1"/>
  <c r="AT35" i="1"/>
  <c r="AC116" i="1"/>
  <c r="X5" i="1"/>
  <c r="S49" i="1"/>
  <c r="V49" i="1"/>
  <c r="O62" i="1"/>
  <c r="P62" i="1" s="1"/>
  <c r="BD36" i="1"/>
  <c r="AC83" i="1"/>
  <c r="P87" i="1"/>
  <c r="AQ21" i="1"/>
  <c r="N50" i="1"/>
  <c r="Y50" i="1" s="1"/>
  <c r="O66" i="1"/>
  <c r="N66" i="1"/>
  <c r="O84" i="1"/>
  <c r="N84" i="1"/>
  <c r="Y84" i="1" s="1"/>
  <c r="Z84" i="1" s="1"/>
  <c r="P101" i="1"/>
  <c r="N112" i="1"/>
  <c r="Y112" i="1" s="1"/>
  <c r="Z112" i="1" s="1"/>
  <c r="AI114" i="1"/>
  <c r="AH5" i="1"/>
  <c r="AF5" i="1"/>
  <c r="AI113" i="1"/>
  <c r="U6" i="1"/>
  <c r="S133" i="1"/>
  <c r="AA6" i="1"/>
  <c r="V133" i="1"/>
  <c r="S135" i="1"/>
  <c r="AE37" i="1"/>
  <c r="AI112" i="1"/>
  <c r="AH37" i="1"/>
  <c r="Y98" i="1"/>
  <c r="N103" i="1"/>
  <c r="V103" i="1" s="1"/>
  <c r="O118" i="1"/>
  <c r="N118" i="1"/>
  <c r="Y118" i="1" s="1"/>
  <c r="Z118" i="1" s="1"/>
  <c r="O97" i="1"/>
  <c r="N97" i="1"/>
  <c r="Y97" i="1" s="1"/>
  <c r="AT36" i="1"/>
  <c r="Y49" i="1"/>
  <c r="O117" i="1"/>
  <c r="N117" i="1"/>
  <c r="Y117" i="1" s="1"/>
  <c r="Z117" i="1" s="1"/>
  <c r="AA4" i="1"/>
  <c r="O48" i="1"/>
  <c r="P48" i="1" s="1"/>
  <c r="V62" i="1"/>
  <c r="AS19" i="1"/>
  <c r="S97" i="1"/>
  <c r="P47" i="1"/>
  <c r="O77" i="1"/>
  <c r="N77" i="1"/>
  <c r="Y77" i="1" s="1"/>
  <c r="Z77" i="1" s="1"/>
  <c r="AF82" i="1"/>
  <c r="N128" i="1"/>
  <c r="Y128" i="1" s="1"/>
  <c r="V136" i="1"/>
  <c r="P6" i="1"/>
  <c r="V128" i="1"/>
  <c r="O22" i="1"/>
  <c r="N22" i="1"/>
  <c r="U5" i="1"/>
  <c r="O8" i="1"/>
  <c r="N8" i="1"/>
  <c r="N129" i="1"/>
  <c r="Y129" i="1" s="1"/>
  <c r="O61" i="1"/>
  <c r="N61" i="1"/>
  <c r="Y61" i="1" s="1"/>
  <c r="S48" i="1"/>
  <c r="Y62" i="1"/>
  <c r="AO18" i="1"/>
  <c r="Z18" i="1"/>
  <c r="BD34" i="1"/>
  <c r="AI82" i="1"/>
  <c r="O98" i="1"/>
  <c r="N98" i="1"/>
  <c r="V98" i="1" s="1"/>
  <c r="AC113" i="1"/>
  <c r="S131" i="1"/>
  <c r="Y136" i="1"/>
  <c r="N47" i="1"/>
  <c r="N135" i="1"/>
  <c r="P135" i="1" s="1"/>
  <c r="O86" i="1"/>
  <c r="P86" i="1" s="1"/>
  <c r="N101" i="1"/>
  <c r="S101" i="1" s="1"/>
  <c r="O131" i="1"/>
  <c r="P131" i="1" s="1"/>
  <c r="N78" i="1"/>
  <c r="Y78" i="1" s="1"/>
  <c r="Z78" i="1" s="1"/>
  <c r="N87" i="1"/>
  <c r="AC87" i="1" s="1"/>
  <c r="N20" i="1"/>
  <c r="N35" i="1"/>
  <c r="N46" i="1"/>
  <c r="V46" i="1" s="1"/>
  <c r="N64" i="1"/>
  <c r="P64" i="1" s="1"/>
  <c r="S61" i="1" l="1"/>
  <c r="AI78" i="1"/>
  <c r="P77" i="1"/>
  <c r="AC84" i="1"/>
  <c r="P84" i="1"/>
  <c r="AC77" i="1"/>
  <c r="X7" i="1"/>
  <c r="AA7" i="1"/>
  <c r="P116" i="1"/>
  <c r="S50" i="1"/>
  <c r="Y35" i="1"/>
  <c r="Z35" i="1"/>
  <c r="U7" i="1"/>
  <c r="P66" i="1"/>
  <c r="S46" i="1"/>
  <c r="Y64" i="1"/>
  <c r="AL19" i="1"/>
  <c r="AF81" i="1"/>
  <c r="Y81" i="1"/>
  <c r="Z81" i="1" s="1"/>
  <c r="AV20" i="1"/>
  <c r="P20" i="1"/>
  <c r="Y20" i="1"/>
  <c r="Z20" i="1"/>
  <c r="AC81" i="1"/>
  <c r="V102" i="1"/>
  <c r="Y102" i="1"/>
  <c r="AI77" i="1"/>
  <c r="V61" i="1"/>
  <c r="P102" i="1"/>
  <c r="P132" i="1"/>
  <c r="P99" i="1"/>
  <c r="P50" i="1"/>
  <c r="AF77" i="1"/>
  <c r="AO20" i="1"/>
  <c r="X8" i="1"/>
  <c r="AA8" i="1"/>
  <c r="AI81" i="1"/>
  <c r="Z33" i="1"/>
  <c r="Y33" i="1"/>
  <c r="AE33" i="1"/>
  <c r="P8" i="1"/>
  <c r="S102" i="1"/>
  <c r="P33" i="1"/>
  <c r="AD7" i="1"/>
  <c r="AH35" i="1"/>
  <c r="AO19" i="1"/>
  <c r="S47" i="1"/>
  <c r="V47" i="1"/>
  <c r="P117" i="1"/>
  <c r="AI20" i="1"/>
  <c r="P78" i="1"/>
  <c r="V132" i="1"/>
  <c r="AI116" i="1"/>
  <c r="V135" i="1"/>
  <c r="S63" i="1"/>
  <c r="Y132" i="1"/>
  <c r="P103" i="1"/>
  <c r="Y135" i="1"/>
  <c r="AV19" i="1"/>
  <c r="BD33" i="1"/>
  <c r="BD35" i="1"/>
  <c r="AI84" i="1"/>
  <c r="Z22" i="1"/>
  <c r="Y22" i="1"/>
  <c r="AF78" i="1"/>
  <c r="AH33" i="1"/>
  <c r="AC82" i="1"/>
  <c r="Y82" i="1"/>
  <c r="Z82" i="1" s="1"/>
  <c r="P82" i="1"/>
  <c r="S128" i="1"/>
  <c r="AD5" i="1"/>
  <c r="AL20" i="1"/>
  <c r="S65" i="1"/>
  <c r="V65" i="1"/>
  <c r="P129" i="1"/>
  <c r="P35" i="1"/>
  <c r="V99" i="1"/>
  <c r="P97" i="1"/>
  <c r="Y99" i="1"/>
  <c r="P65" i="1"/>
  <c r="P119" i="1"/>
  <c r="AF84" i="1"/>
  <c r="P61" i="1"/>
  <c r="P81" i="1"/>
  <c r="Z19" i="1"/>
  <c r="Y19" i="1"/>
  <c r="AF19" i="1"/>
  <c r="Y63" i="1"/>
  <c r="U8" i="1"/>
  <c r="P22" i="1"/>
  <c r="AA5" i="1"/>
  <c r="AV22" i="1"/>
  <c r="AI117" i="1"/>
  <c r="Y101" i="1"/>
  <c r="AL22" i="1"/>
  <c r="V64" i="1"/>
  <c r="AF116" i="1"/>
  <c r="AC78" i="1"/>
  <c r="V101" i="1"/>
  <c r="P98" i="1"/>
  <c r="P118" i="1"/>
  <c r="Z36" i="1"/>
  <c r="Y36" i="1"/>
  <c r="AE36" i="1"/>
  <c r="S60" i="1"/>
  <c r="V60" i="1"/>
  <c r="AF117" i="1"/>
  <c r="AF20" i="1"/>
</calcChain>
</file>

<file path=xl/sharedStrings.xml><?xml version="1.0" encoding="utf-8"?>
<sst xmlns="http://schemas.openxmlformats.org/spreadsheetml/2006/main" count="1069" uniqueCount="138">
  <si>
    <t xml:space="preserve">Dim = </t>
    <phoneticPr fontId="2" type="noConversion"/>
  </si>
  <si>
    <t>Dim_u =</t>
    <phoneticPr fontId="2" type="noConversion"/>
  </si>
  <si>
    <t>Test1-1</t>
    <phoneticPr fontId="2" type="noConversion"/>
  </si>
  <si>
    <t>AR=1.8</t>
    <phoneticPr fontId="2" type="noConversion"/>
  </si>
  <si>
    <t>Test1-2</t>
    <phoneticPr fontId="2" type="noConversion"/>
  </si>
  <si>
    <t>Test1-3</t>
    <phoneticPr fontId="2" type="noConversion"/>
  </si>
  <si>
    <t>ANA</t>
    <phoneticPr fontId="2" type="noConversion"/>
  </si>
  <si>
    <t>FEM</t>
    <phoneticPr fontId="2" type="noConversion"/>
  </si>
  <si>
    <t>Mode</t>
    <phoneticPr fontId="2" type="noConversion"/>
  </si>
  <si>
    <t>Exp Freq</t>
    <phoneticPr fontId="2" type="noConversion"/>
  </si>
  <si>
    <t>Dim</t>
    <phoneticPr fontId="2" type="noConversion"/>
  </si>
  <si>
    <t>Dim_u</t>
    <phoneticPr fontId="2" type="noConversion"/>
  </si>
  <si>
    <t>Mean Freq</t>
    <phoneticPr fontId="2" type="noConversion"/>
  </si>
  <si>
    <t>Mean Dim_u</t>
    <phoneticPr fontId="2" type="noConversion"/>
  </si>
  <si>
    <t>Dim Freq STD</t>
    <phoneticPr fontId="2" type="noConversion"/>
  </si>
  <si>
    <t>CV %</t>
    <phoneticPr fontId="2" type="noConversion"/>
  </si>
  <si>
    <t>Expriment
Freq</t>
    <phoneticPr fontId="2" type="noConversion"/>
  </si>
  <si>
    <t>Expriment
Dowell</t>
    <phoneticPr fontId="2" type="noConversion"/>
  </si>
  <si>
    <t>Thick Shell</t>
    <phoneticPr fontId="2" type="noConversion"/>
  </si>
  <si>
    <t>Error/%</t>
    <phoneticPr fontId="2" type="noConversion"/>
  </si>
  <si>
    <t>Thin Shell</t>
    <phoneticPr fontId="2" type="noConversion"/>
  </si>
  <si>
    <t>Shear Beam</t>
    <phoneticPr fontId="2" type="noConversion"/>
  </si>
  <si>
    <t>Euler Beam</t>
    <phoneticPr fontId="2" type="noConversion"/>
  </si>
  <si>
    <t>Solid_Mesh_2</t>
    <phoneticPr fontId="2" type="noConversion"/>
  </si>
  <si>
    <t>Solid_Mesh_1</t>
    <phoneticPr fontId="2" type="noConversion"/>
  </si>
  <si>
    <t>Solid_Mesh_0.5</t>
    <phoneticPr fontId="2" type="noConversion"/>
  </si>
  <si>
    <t>1-B</t>
    <phoneticPr fontId="2" type="noConversion"/>
  </si>
  <si>
    <t>1-T</t>
    <phoneticPr fontId="2" type="noConversion"/>
  </si>
  <si>
    <t>2-B</t>
    <phoneticPr fontId="2" type="noConversion"/>
  </si>
  <si>
    <t>2-T</t>
    <phoneticPr fontId="2" type="noConversion"/>
  </si>
  <si>
    <t>3-B</t>
    <phoneticPr fontId="2" type="noConversion"/>
  </si>
  <si>
    <t>1-FB</t>
    <phoneticPr fontId="2" type="noConversion"/>
  </si>
  <si>
    <t>---</t>
    <phoneticPr fontId="2" type="noConversion"/>
  </si>
  <si>
    <t>Frequency</t>
    <phoneticPr fontId="2" type="noConversion"/>
  </si>
  <si>
    <r>
      <rPr>
        <sz val="11"/>
        <color theme="1"/>
        <rFont val="Times New Roman"/>
        <family val="2"/>
      </rPr>
      <t>Upper limit</t>
    </r>
    <r>
      <rPr>
        <sz val="11"/>
        <color theme="1"/>
        <rFont val="Times New Roman"/>
        <family val="1"/>
      </rPr>
      <t>/Hz</t>
    </r>
    <phoneticPr fontId="2" type="noConversion"/>
  </si>
  <si>
    <t>Lower limit/Hz</t>
    <phoneticPr fontId="2" type="noConversion"/>
  </si>
  <si>
    <t>Resolution/Hz</t>
    <phoneticPr fontId="2" type="noConversion"/>
  </si>
  <si>
    <t>Range</t>
    <phoneticPr fontId="2" type="noConversion"/>
  </si>
  <si>
    <t>Spanwise</t>
    <phoneticPr fontId="2" type="noConversion"/>
  </si>
  <si>
    <t>Chordwise</t>
    <phoneticPr fontId="2" type="noConversion"/>
  </si>
  <si>
    <t>Point scan duration</t>
    <phoneticPr fontId="2" type="noConversion"/>
  </si>
  <si>
    <t>Density</t>
    <phoneticPr fontId="2" type="noConversion"/>
  </si>
  <si>
    <t>1.28s</t>
    <phoneticPr fontId="2" type="noConversion"/>
  </si>
  <si>
    <t>2s</t>
    <phoneticPr fontId="2" type="noConversion"/>
  </si>
  <si>
    <t>Test2-1</t>
    <phoneticPr fontId="2" type="noConversion"/>
  </si>
  <si>
    <t>AR=2.5</t>
    <phoneticPr fontId="2" type="noConversion"/>
  </si>
  <si>
    <t>Test2-2</t>
    <phoneticPr fontId="2" type="noConversion"/>
  </si>
  <si>
    <t>Test2-3</t>
    <phoneticPr fontId="2" type="noConversion"/>
  </si>
  <si>
    <t>Test2-4</t>
    <phoneticPr fontId="2" type="noConversion"/>
  </si>
  <si>
    <t>CNC</t>
    <phoneticPr fontId="2" type="noConversion"/>
  </si>
  <si>
    <t>Exp Freq1</t>
    <phoneticPr fontId="2" type="noConversion"/>
  </si>
  <si>
    <t>Exp Freq2</t>
    <phoneticPr fontId="2" type="noConversion"/>
  </si>
  <si>
    <t>Exp Freq3</t>
    <phoneticPr fontId="2" type="noConversion"/>
  </si>
  <si>
    <t>Freq_Avg</t>
    <phoneticPr fontId="2" type="noConversion"/>
  </si>
  <si>
    <t>Freq_Str</t>
    <phoneticPr fontId="2" type="noConversion"/>
  </si>
  <si>
    <t>3DP Dim_u</t>
    <phoneticPr fontId="2" type="noConversion"/>
  </si>
  <si>
    <t>Diff/%</t>
    <phoneticPr fontId="2" type="noConversion"/>
  </si>
  <si>
    <t>Expriment
Liew</t>
    <phoneticPr fontId="2" type="noConversion"/>
  </si>
  <si>
    <t>Expriment
Leissa</t>
    <phoneticPr fontId="2" type="noConversion"/>
  </si>
  <si>
    <t>Expriment
Plunkett</t>
    <phoneticPr fontId="2" type="noConversion"/>
  </si>
  <si>
    <t>——</t>
    <phoneticPr fontId="2" type="noConversion"/>
  </si>
  <si>
    <t>3-T</t>
    <phoneticPr fontId="2" type="noConversion"/>
  </si>
  <si>
    <t>4-B</t>
    <phoneticPr fontId="2" type="noConversion"/>
  </si>
  <si>
    <t>Frequency</t>
  </si>
  <si>
    <t>Upper limit/Hz</t>
    <phoneticPr fontId="2" type="noConversion"/>
  </si>
  <si>
    <t>Range</t>
  </si>
  <si>
    <t>0.5 (0-1600)
2.5 (1600-8000)</t>
    <phoneticPr fontId="2" type="noConversion"/>
  </si>
  <si>
    <t>Point scan duration time</t>
    <phoneticPr fontId="2" type="noConversion"/>
  </si>
  <si>
    <t>2.56s</t>
    <phoneticPr fontId="2" type="noConversion"/>
  </si>
  <si>
    <t>Density</t>
  </si>
  <si>
    <t>Test3-1</t>
    <phoneticPr fontId="2" type="noConversion"/>
  </si>
  <si>
    <t>AR=5.0</t>
    <phoneticPr fontId="2" type="noConversion"/>
  </si>
  <si>
    <t>Test3-2</t>
    <phoneticPr fontId="2" type="noConversion"/>
  </si>
  <si>
    <t>Test3-3</t>
    <phoneticPr fontId="2" type="noConversion"/>
  </si>
  <si>
    <t>Test3-4</t>
    <phoneticPr fontId="2" type="noConversion"/>
  </si>
  <si>
    <t>AR=5</t>
    <phoneticPr fontId="2" type="noConversion"/>
  </si>
  <si>
    <t>TEST3-1</t>
    <phoneticPr fontId="2" type="noConversion"/>
  </si>
  <si>
    <t>TEST3-2</t>
    <phoneticPr fontId="2" type="noConversion"/>
  </si>
  <si>
    <t>TEST3-3</t>
    <phoneticPr fontId="2" type="noConversion"/>
  </si>
  <si>
    <t>Expriment
Ripperger</t>
    <phoneticPr fontId="2" type="noConversion"/>
  </si>
  <si>
    <t>Dim_u</t>
  </si>
  <si>
    <t>Test6-1</t>
    <phoneticPr fontId="2" type="noConversion"/>
  </si>
  <si>
    <t>f=25%</t>
    <phoneticPr fontId="2" type="noConversion"/>
  </si>
  <si>
    <t>Test6-2</t>
    <phoneticPr fontId="2" type="noConversion"/>
  </si>
  <si>
    <t>Test6-3</t>
    <phoneticPr fontId="2" type="noConversion"/>
  </si>
  <si>
    <t>Exp Freq</t>
  </si>
  <si>
    <t>Dim</t>
  </si>
  <si>
    <t>Thin-P=Euler-B</t>
    <phoneticPr fontId="2" type="noConversion"/>
  </si>
  <si>
    <t>Thin-P=Thin-P</t>
    <phoneticPr fontId="2" type="noConversion"/>
  </si>
  <si>
    <t>Euler-B=Euler-B</t>
    <phoneticPr fontId="2" type="noConversion"/>
  </si>
  <si>
    <t>4s</t>
    <phoneticPr fontId="2" type="noConversion"/>
  </si>
  <si>
    <t>Test5-1</t>
    <phoneticPr fontId="2" type="noConversion"/>
  </si>
  <si>
    <t>f=50%</t>
    <phoneticPr fontId="2" type="noConversion"/>
  </si>
  <si>
    <t>Test5-2</t>
    <phoneticPr fontId="2" type="noConversion"/>
  </si>
  <si>
    <t>Test5-3</t>
    <phoneticPr fontId="2" type="noConversion"/>
  </si>
  <si>
    <t>4-T</t>
    <phoneticPr fontId="2" type="noConversion"/>
  </si>
  <si>
    <t>——</t>
  </si>
  <si>
    <t>6-T</t>
    <phoneticPr fontId="2" type="noConversion"/>
  </si>
  <si>
    <t>Test4-1</t>
    <phoneticPr fontId="2" type="noConversion"/>
  </si>
  <si>
    <t>f=75%</t>
    <phoneticPr fontId="2" type="noConversion"/>
  </si>
  <si>
    <t>Test4-2</t>
    <phoneticPr fontId="2" type="noConversion"/>
  </si>
  <si>
    <t>Test4-3</t>
    <phoneticPr fontId="2" type="noConversion"/>
  </si>
  <si>
    <t>Test4-4</t>
    <phoneticPr fontId="2" type="noConversion"/>
  </si>
  <si>
    <t>1-B</t>
  </si>
  <si>
    <t>2-B</t>
  </si>
  <si>
    <t>1-T</t>
  </si>
  <si>
    <t>3-B</t>
  </si>
  <si>
    <t>2-T</t>
  </si>
  <si>
    <t>4-B</t>
  </si>
  <si>
    <t>5-P</t>
    <phoneticPr fontId="2" type="noConversion"/>
  </si>
  <si>
    <t>5-B</t>
    <phoneticPr fontId="2" type="noConversion"/>
  </si>
  <si>
    <t>6-P</t>
    <phoneticPr fontId="2" type="noConversion"/>
  </si>
  <si>
    <t>6-B</t>
    <phoneticPr fontId="2" type="noConversion"/>
  </si>
  <si>
    <t>5-T</t>
    <phoneticPr fontId="2" type="noConversion"/>
  </si>
  <si>
    <t>Test9-1</t>
    <phoneticPr fontId="2" type="noConversion"/>
  </si>
  <si>
    <t>AR=3.0</t>
    <phoneticPr fontId="2" type="noConversion"/>
  </si>
  <si>
    <t>Test9-2</t>
    <phoneticPr fontId="2" type="noConversion"/>
  </si>
  <si>
    <t>Test9-3</t>
    <phoneticPr fontId="2" type="noConversion"/>
  </si>
  <si>
    <t>3-P</t>
    <phoneticPr fontId="2" type="noConversion"/>
  </si>
  <si>
    <t>4-P</t>
    <phoneticPr fontId="2" type="noConversion"/>
  </si>
  <si>
    <t>4s</t>
  </si>
  <si>
    <t>Test8-1</t>
    <phoneticPr fontId="2" type="noConversion"/>
  </si>
  <si>
    <t>AR=4.0</t>
    <phoneticPr fontId="2" type="noConversion"/>
  </si>
  <si>
    <t>Test8-2</t>
    <phoneticPr fontId="2" type="noConversion"/>
  </si>
  <si>
    <t>Test8-3</t>
    <phoneticPr fontId="2" type="noConversion"/>
  </si>
  <si>
    <t>Test8-4</t>
    <phoneticPr fontId="2" type="noConversion"/>
  </si>
  <si>
    <t>AR=4</t>
    <phoneticPr fontId="2" type="noConversion"/>
  </si>
  <si>
    <t>Freq STD</t>
    <phoneticPr fontId="2" type="noConversion"/>
  </si>
  <si>
    <t>3-T</t>
  </si>
  <si>
    <t>4-T</t>
  </si>
  <si>
    <t>5-T</t>
  </si>
  <si>
    <t>1-FB</t>
  </si>
  <si>
    <r>
      <t>Upper limit</t>
    </r>
    <r>
      <rPr>
        <sz val="11"/>
        <color theme="1"/>
        <rFont val="Times New Roman"/>
        <family val="1"/>
      </rPr>
      <t>/Hz</t>
    </r>
    <phoneticPr fontId="2" type="noConversion"/>
  </si>
  <si>
    <t>1.6s</t>
    <phoneticPr fontId="2" type="noConversion"/>
  </si>
  <si>
    <t>Test7-1</t>
    <phoneticPr fontId="2" type="noConversion"/>
  </si>
  <si>
    <t>AR=6.0</t>
    <phoneticPr fontId="2" type="noConversion"/>
  </si>
  <si>
    <t>Test7-2</t>
    <phoneticPr fontId="2" type="noConversion"/>
  </si>
  <si>
    <t>Test7-3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</si>
</sst>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4" x14ac:knownFonts="1">
    <font>
      <sz val="11"/>
      <color theme="1"/>
      <name val="等线"/>
      <family val="2"/>
      <charset val="134"/>
      <scheme val="minor"/>
    </font>
    <font>
      <b/>
      <sz val="11"/>
      <color rgb="FFFF0000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2"/>
    </font>
    <font>
      <sz val="11"/>
      <name val="Times New Roman"/>
      <family val="1"/>
    </font>
    <font>
      <sz val="11"/>
      <color rgb="FF00206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EE0000"/>
      <name val="Times New Roman"/>
      <family val="1"/>
    </font>
    <font>
      <b/>
      <sz val="11"/>
      <color rgb="FFEE0000"/>
      <name val="Times New Roman"/>
      <family val="1"/>
    </font>
    <font>
      <b/>
      <sz val="11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76" fontId="5" fillId="3" borderId="8" xfId="0" applyNumberFormat="1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176" fontId="1" fillId="3" borderId="8" xfId="0" applyNumberFormat="1" applyFont="1" applyFill="1" applyBorder="1" applyAlignment="1">
      <alignment horizontal="center" vertical="center"/>
    </xf>
    <xf numFmtId="176" fontId="1" fillId="3" borderId="9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quotePrefix="1" applyFont="1" applyFill="1" applyBorder="1" applyAlignment="1">
      <alignment horizontal="center" vertical="center"/>
    </xf>
    <xf numFmtId="0" fontId="3" fillId="4" borderId="14" xfId="0" quotePrefix="1" applyFont="1" applyFill="1" applyBorder="1" applyAlignment="1">
      <alignment horizontal="center" vertical="center"/>
    </xf>
    <xf numFmtId="176" fontId="3" fillId="4" borderId="13" xfId="0" quotePrefix="1" applyNumberFormat="1" applyFont="1" applyFill="1" applyBorder="1" applyAlignment="1">
      <alignment horizontal="center" vertical="center"/>
    </xf>
    <xf numFmtId="176" fontId="3" fillId="4" borderId="15" xfId="0" quotePrefix="1" applyNumberFormat="1" applyFont="1" applyFill="1" applyBorder="1" applyAlignment="1">
      <alignment horizontal="center" vertical="center"/>
    </xf>
    <xf numFmtId="0" fontId="3" fillId="4" borderId="16" xfId="0" quotePrefix="1" applyFont="1" applyFill="1" applyBorder="1" applyAlignment="1">
      <alignment horizontal="center" vertical="center"/>
    </xf>
    <xf numFmtId="0" fontId="3" fillId="4" borderId="17" xfId="0" quotePrefix="1" applyFont="1" applyFill="1" applyBorder="1" applyAlignment="1">
      <alignment horizontal="center" vertical="center"/>
    </xf>
    <xf numFmtId="0" fontId="3" fillId="4" borderId="18" xfId="0" quotePrefix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176" fontId="3" fillId="4" borderId="19" xfId="0" quotePrefix="1" applyNumberFormat="1" applyFont="1" applyFill="1" applyBorder="1" applyAlignment="1">
      <alignment horizontal="center" vertical="center"/>
    </xf>
    <xf numFmtId="176" fontId="5" fillId="4" borderId="19" xfId="0" applyNumberFormat="1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9" xfId="0" quotePrefix="1" applyFont="1" applyFill="1" applyBorder="1" applyAlignment="1">
      <alignment horizontal="center" vertical="center"/>
    </xf>
    <xf numFmtId="176" fontId="3" fillId="4" borderId="19" xfId="0" applyNumberFormat="1" applyFont="1" applyFill="1" applyBorder="1" applyAlignment="1">
      <alignment horizontal="center" vertical="center"/>
    </xf>
    <xf numFmtId="176" fontId="5" fillId="4" borderId="18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quotePrefix="1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2" fontId="7" fillId="2" borderId="8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quotePrefix="1" applyFont="1" applyFill="1" applyBorder="1" applyAlignment="1">
      <alignment horizontal="center" vertical="center"/>
    </xf>
    <xf numFmtId="0" fontId="3" fillId="4" borderId="9" xfId="0" quotePrefix="1" applyFont="1" applyFill="1" applyBorder="1" applyAlignment="1">
      <alignment horizontal="center" vertical="center"/>
    </xf>
    <xf numFmtId="176" fontId="3" fillId="4" borderId="10" xfId="0" quotePrefix="1" applyNumberFormat="1" applyFont="1" applyFill="1" applyBorder="1" applyAlignment="1">
      <alignment horizontal="center" vertical="center"/>
    </xf>
    <xf numFmtId="0" fontId="3" fillId="4" borderId="26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center" vertical="center"/>
    </xf>
    <xf numFmtId="0" fontId="3" fillId="4" borderId="27" xfId="0" quotePrefix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2" fontId="7" fillId="4" borderId="8" xfId="0" quotePrefix="1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3" fillId="4" borderId="28" xfId="0" quotePrefix="1" applyFont="1" applyFill="1" applyBorder="1" applyAlignment="1">
      <alignment horizontal="center" vertical="center"/>
    </xf>
    <xf numFmtId="176" fontId="3" fillId="4" borderId="8" xfId="0" quotePrefix="1" applyNumberFormat="1" applyFont="1" applyFill="1" applyBorder="1" applyAlignment="1">
      <alignment horizontal="center" vertical="center"/>
    </xf>
    <xf numFmtId="176" fontId="5" fillId="4" borderId="9" xfId="0" applyNumberFormat="1" applyFont="1" applyFill="1" applyBorder="1" applyAlignment="1">
      <alignment horizontal="center" vertical="center"/>
    </xf>
    <xf numFmtId="176" fontId="1" fillId="4" borderId="9" xfId="0" applyNumberFormat="1" applyFont="1" applyFill="1" applyBorder="1" applyAlignment="1">
      <alignment horizontal="center" vertical="center"/>
    </xf>
    <xf numFmtId="176" fontId="5" fillId="4" borderId="8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3" fillId="4" borderId="29" xfId="0" applyFont="1" applyFill="1" applyBorder="1">
      <alignment vertical="center"/>
    </xf>
    <xf numFmtId="0" fontId="3" fillId="4" borderId="30" xfId="0" applyFont="1" applyFill="1" applyBorder="1">
      <alignment vertical="center"/>
    </xf>
    <xf numFmtId="0" fontId="3" fillId="4" borderId="31" xfId="0" applyFont="1" applyFill="1" applyBorder="1">
      <alignment vertical="center"/>
    </xf>
    <xf numFmtId="0" fontId="3" fillId="4" borderId="32" xfId="0" applyFont="1" applyFill="1" applyBorder="1">
      <alignment vertical="center"/>
    </xf>
    <xf numFmtId="0" fontId="3" fillId="4" borderId="17" xfId="0" applyFont="1" applyFill="1" applyBorder="1">
      <alignment vertical="center"/>
    </xf>
    <xf numFmtId="0" fontId="3" fillId="4" borderId="33" xfId="0" applyFont="1" applyFill="1" applyBorder="1">
      <alignment vertical="center"/>
    </xf>
    <xf numFmtId="0" fontId="3" fillId="4" borderId="3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3" xfId="0" quotePrefix="1" applyFont="1" applyFill="1" applyBorder="1" applyAlignment="1">
      <alignment horizontal="center" vertical="center"/>
    </xf>
    <xf numFmtId="2" fontId="7" fillId="4" borderId="13" xfId="0" quotePrefix="1" applyNumberFormat="1" applyFont="1" applyFill="1" applyBorder="1" applyAlignment="1">
      <alignment horizontal="center" vertical="center"/>
    </xf>
    <xf numFmtId="2" fontId="3" fillId="4" borderId="9" xfId="0" quotePrefix="1" applyNumberFormat="1" applyFont="1" applyFill="1" applyBorder="1" applyAlignment="1">
      <alignment horizontal="center" vertical="center"/>
    </xf>
    <xf numFmtId="177" fontId="7" fillId="4" borderId="16" xfId="0" applyNumberFormat="1" applyFont="1" applyFill="1" applyBorder="1" applyAlignment="1">
      <alignment horizontal="center" vertical="center"/>
    </xf>
    <xf numFmtId="176" fontId="1" fillId="4" borderId="18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quotePrefix="1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0" fontId="3" fillId="2" borderId="25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 wrapText="1"/>
    </xf>
    <xf numFmtId="0" fontId="3" fillId="2" borderId="11" xfId="0" quotePrefix="1" applyFont="1" applyFill="1" applyBorder="1" applyAlignment="1">
      <alignment horizontal="center" vertical="center" wrapText="1"/>
    </xf>
    <xf numFmtId="0" fontId="3" fillId="2" borderId="27" xfId="0" quotePrefix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0" borderId="28" xfId="0" quotePrefix="1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28" xfId="0" quotePrefix="1" applyFont="1" applyFill="1" applyBorder="1" applyAlignment="1">
      <alignment horizontal="center" vertical="center"/>
    </xf>
    <xf numFmtId="0" fontId="3" fillId="2" borderId="35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" vertical="center"/>
    </xf>
    <xf numFmtId="0" fontId="3" fillId="2" borderId="33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6" fontId="7" fillId="5" borderId="7" xfId="0" applyNumberFormat="1" applyFont="1" applyFill="1" applyBorder="1" applyAlignment="1">
      <alignment horizontal="center" vertical="center"/>
    </xf>
    <xf numFmtId="176" fontId="7" fillId="5" borderId="8" xfId="0" applyNumberFormat="1" applyFont="1" applyFill="1" applyBorder="1" applyAlignment="1">
      <alignment horizontal="center" vertical="center"/>
    </xf>
    <xf numFmtId="176" fontId="5" fillId="5" borderId="9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2" fontId="3" fillId="2" borderId="19" xfId="0" applyNumberFormat="1" applyFont="1" applyFill="1" applyBorder="1" applyAlignment="1">
      <alignment horizontal="center" vertical="center"/>
    </xf>
    <xf numFmtId="2" fontId="9" fillId="2" borderId="28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5" fillId="3" borderId="18" xfId="0" applyNumberFormat="1" applyFont="1" applyFill="1" applyBorder="1" applyAlignment="1">
      <alignment horizontal="center" vertical="center"/>
    </xf>
    <xf numFmtId="176" fontId="7" fillId="5" borderId="16" xfId="0" applyNumberFormat="1" applyFont="1" applyFill="1" applyBorder="1" applyAlignment="1">
      <alignment horizontal="center" vertical="center"/>
    </xf>
    <xf numFmtId="176" fontId="7" fillId="5" borderId="19" xfId="0" applyNumberFormat="1" applyFont="1" applyFill="1" applyBorder="1" applyAlignment="1">
      <alignment horizontal="center" vertical="center"/>
    </xf>
    <xf numFmtId="176" fontId="5" fillId="5" borderId="18" xfId="0" applyNumberFormat="1" applyFont="1" applyFill="1" applyBorder="1" applyAlignment="1">
      <alignment horizontal="center" vertical="center"/>
    </xf>
    <xf numFmtId="176" fontId="5" fillId="3" borderId="19" xfId="0" applyNumberFormat="1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 wrapText="1"/>
    </xf>
    <xf numFmtId="0" fontId="3" fillId="2" borderId="9" xfId="0" quotePrefix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9" xfId="0" quotePrefix="1" applyFont="1" applyFill="1" applyBorder="1" applyAlignment="1">
      <alignment horizontal="center" vertical="center"/>
    </xf>
    <xf numFmtId="0" fontId="3" fillId="2" borderId="18" xfId="0" quotePrefix="1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7" fillId="0" borderId="19" xfId="0" quotePrefix="1" applyFont="1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176" fontId="7" fillId="0" borderId="16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6" fontId="5" fillId="3" borderId="41" xfId="0" applyNumberFormat="1" applyFont="1" applyFill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176" fontId="5" fillId="3" borderId="10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2" fontId="7" fillId="2" borderId="10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76" fontId="7" fillId="0" borderId="18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76" fontId="11" fillId="0" borderId="19" xfId="0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2" fontId="5" fillId="2" borderId="16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76" fontId="11" fillId="3" borderId="28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3" fillId="2" borderId="14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46454</xdr:colOff>
      <xdr:row>0</xdr:row>
      <xdr:rowOff>52910</xdr:rowOff>
    </xdr:from>
    <xdr:ext cx="747705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7586D2DB-9B08-4CBD-A5B9-E24CE020E12B}"/>
                </a:ext>
              </a:extLst>
            </xdr:cNvPr>
            <xdr:cNvSpPr txBox="1"/>
          </xdr:nvSpPr>
          <xdr:spPr>
            <a:xfrm>
              <a:off x="3027779" y="52910"/>
              <a:ext cx="747705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altLang="zh-C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𝜔</m:t>
                    </m:r>
                    <m:sSup>
                      <m:sSupPr>
                        <m:ctrlPr>
                          <a:rPr lang="zh-CN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p>
                        <m:r>
                          <a:rPr lang="en-GB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m:rPr>
                        <m:lit/>
                      </m:rPr>
                      <a:rPr lang="en-GB" altLang="zh-C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ad>
                      <m:radPr>
                        <m:degHide m:val="on"/>
                        <m:ctrlPr>
                          <a:rPr lang="zh-CN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GB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  <m:r>
                          <a:rPr lang="en-GB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GB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a:rPr lang="en-GB" altLang="zh-C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e>
                    </m:ra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7586D2DB-9B08-4CBD-A5B9-E24CE020E12B}"/>
                </a:ext>
              </a:extLst>
            </xdr:cNvPr>
            <xdr:cNvSpPr txBox="1"/>
          </xdr:nvSpPr>
          <xdr:spPr>
            <a:xfrm>
              <a:off x="3027779" y="52910"/>
              <a:ext cx="747705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𝜔𝐿</a:t>
              </a:r>
              <a:r>
                <a:rPr lang="zh-CN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GB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\/</a:t>
              </a:r>
              <a:r>
                <a:rPr lang="zh-CN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n-GB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𝜌𝑡/𝐷</a:t>
              </a:r>
              <a:r>
                <a:rPr lang="zh-CN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133422</xdr:colOff>
      <xdr:row>0</xdr:row>
      <xdr:rowOff>57051</xdr:rowOff>
    </xdr:from>
    <xdr:ext cx="51052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F3795AA9-DE9D-4D86-8729-962A3D8F8695}"/>
                </a:ext>
              </a:extLst>
            </xdr:cNvPr>
            <xdr:cNvSpPr txBox="1"/>
          </xdr:nvSpPr>
          <xdr:spPr>
            <a:xfrm>
              <a:off x="1076397" y="57051"/>
              <a:ext cx="5105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altLang="zh-C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𝜔</m:t>
                    </m:r>
                    <m:r>
                      <m:rPr>
                        <m:lit/>
                      </m:rPr>
                      <a:rPr lang="en-GB" altLang="zh-C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𝜔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m:rPr>
                            <m:sty m:val="p"/>
                          </m:rPr>
                          <a:rPr lang="en-US" altLang="zh-C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B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F3795AA9-DE9D-4D86-8729-962A3D8F8695}"/>
                </a:ext>
              </a:extLst>
            </xdr:cNvPr>
            <xdr:cNvSpPr txBox="1"/>
          </xdr:nvSpPr>
          <xdr:spPr>
            <a:xfrm>
              <a:off x="1076397" y="57051"/>
              <a:ext cx="5105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𝜔\/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𝜔_(1−B)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9D53-6009-412A-8AB0-E1C158937886}">
  <dimension ref="A1:BD140"/>
  <sheetViews>
    <sheetView tabSelected="1" topLeftCell="A62" zoomScale="85" zoomScaleNormal="85" workbookViewId="0">
      <pane xSplit="1" topLeftCell="B1" activePane="topRight" state="frozen"/>
      <selection pane="topRight" activeCell="A93" sqref="A93:X130"/>
    </sheetView>
  </sheetViews>
  <sheetFormatPr defaultColWidth="9.125" defaultRowHeight="15" x14ac:dyDescent="0.2"/>
  <cols>
    <col min="1" max="1" width="12.375" style="2" customWidth="1"/>
    <col min="2" max="2" width="12.5" style="2" customWidth="1"/>
    <col min="3" max="3" width="14.25" style="2" customWidth="1"/>
    <col min="4" max="4" width="16.25" style="2" customWidth="1"/>
    <col min="5" max="5" width="14.875" style="2" customWidth="1"/>
    <col min="6" max="6" width="12.5" style="2" customWidth="1"/>
    <col min="7" max="7" width="10.125" style="2" customWidth="1"/>
    <col min="8" max="8" width="15.25" style="2" customWidth="1"/>
    <col min="9" max="9" width="13.5" style="2" customWidth="1"/>
    <col min="10" max="10" width="12.5" style="2" customWidth="1"/>
    <col min="11" max="11" width="10.125" style="2" customWidth="1"/>
    <col min="12" max="12" width="16.125" style="2" customWidth="1"/>
    <col min="13" max="13" width="12" style="2" customWidth="1"/>
    <col min="14" max="14" width="13.125" style="2" customWidth="1"/>
    <col min="15" max="15" width="13.375" style="2" customWidth="1"/>
    <col min="16" max="16" width="9.625" style="2" customWidth="1"/>
    <col min="17" max="17" width="14.875" style="2" customWidth="1"/>
    <col min="18" max="18" width="12.5" style="2" customWidth="1"/>
    <col min="19" max="19" width="17" style="2" customWidth="1"/>
    <col min="20" max="20" width="13.75" style="2" customWidth="1"/>
    <col min="21" max="21" width="14.75" style="2" customWidth="1"/>
    <col min="22" max="22" width="14.5" style="2" customWidth="1"/>
    <col min="23" max="23" width="15.625" style="2" customWidth="1"/>
    <col min="24" max="24" width="14.75" style="2" customWidth="1"/>
    <col min="25" max="25" width="11.875" style="2" customWidth="1"/>
    <col min="26" max="26" width="10.75" style="2" customWidth="1"/>
    <col min="27" max="27" width="15.875" style="2" customWidth="1"/>
    <col min="28" max="28" width="15.375" style="2" customWidth="1"/>
    <col min="29" max="29" width="12.125" style="2" customWidth="1"/>
    <col min="30" max="30" width="14.5" style="2" customWidth="1"/>
    <col min="31" max="32" width="15.125" style="2" customWidth="1"/>
    <col min="33" max="33" width="17.375" style="2" customWidth="1"/>
    <col min="34" max="34" width="14.75" style="2" customWidth="1"/>
    <col min="35" max="35" width="12.375" style="2" customWidth="1"/>
    <col min="36" max="36" width="10.625" style="2" customWidth="1"/>
    <col min="37" max="37" width="13.5" style="2" customWidth="1"/>
    <col min="38" max="38" width="14.75" style="2" customWidth="1"/>
    <col min="39" max="39" width="12" style="2" customWidth="1"/>
    <col min="40" max="40" width="14.25" style="2" customWidth="1"/>
    <col min="41" max="41" width="13.625" style="3" customWidth="1"/>
    <col min="42" max="42" width="17.375" style="3" customWidth="1"/>
    <col min="43" max="43" width="9.125" style="3"/>
    <col min="44" max="44" width="12.875" style="3" customWidth="1"/>
    <col min="45" max="45" width="15" style="3" bestFit="1" customWidth="1"/>
    <col min="46" max="46" width="14.125" style="3" customWidth="1"/>
    <col min="47" max="47" width="12.875" style="3" bestFit="1" customWidth="1"/>
    <col min="48" max="54" width="9.125" style="3"/>
    <col min="55" max="55" width="15" style="3" bestFit="1" customWidth="1"/>
    <col min="56" max="16384" width="9.125" style="3"/>
  </cols>
  <sheetData>
    <row r="1" spans="1:48" ht="24.75" customHeight="1" thickBot="1" x14ac:dyDescent="0.25">
      <c r="A1" s="1" t="s">
        <v>0</v>
      </c>
      <c r="C1" s="1" t="s">
        <v>1</v>
      </c>
    </row>
    <row r="2" spans="1:48" ht="18.75" x14ac:dyDescent="0.2">
      <c r="A2" s="4" t="s">
        <v>2</v>
      </c>
      <c r="B2" s="5" t="s">
        <v>3</v>
      </c>
      <c r="C2" s="6"/>
      <c r="D2" s="7"/>
      <c r="E2" s="4" t="s">
        <v>4</v>
      </c>
      <c r="F2" s="5" t="s">
        <v>3</v>
      </c>
      <c r="G2" s="6"/>
      <c r="H2" s="7"/>
      <c r="I2" s="4" t="s">
        <v>5</v>
      </c>
      <c r="J2" s="5" t="s">
        <v>3</v>
      </c>
      <c r="K2" s="6"/>
      <c r="L2" s="6"/>
      <c r="M2" s="8" t="s">
        <v>6</v>
      </c>
      <c r="N2" s="9"/>
      <c r="O2" s="10"/>
      <c r="P2" s="11"/>
      <c r="Q2" s="12"/>
      <c r="R2" s="12"/>
      <c r="S2" s="4" t="s">
        <v>7</v>
      </c>
      <c r="T2" s="5"/>
      <c r="U2" s="5"/>
      <c r="V2" s="5"/>
      <c r="W2" s="5"/>
      <c r="X2" s="5"/>
      <c r="Y2" s="6"/>
      <c r="Z2" s="6"/>
      <c r="AA2" s="6"/>
      <c r="AB2" s="6"/>
      <c r="AC2" s="5"/>
      <c r="AD2" s="5"/>
      <c r="AE2" s="6"/>
      <c r="AF2" s="5"/>
      <c r="AG2" s="5"/>
      <c r="AH2" s="6"/>
      <c r="AI2" s="5"/>
      <c r="AJ2" s="5"/>
      <c r="AK2" s="7"/>
      <c r="AL2" s="13"/>
      <c r="AM2" s="13"/>
      <c r="AN2" s="13"/>
      <c r="AO2" s="13"/>
      <c r="AP2" s="13"/>
      <c r="AQ2" s="13"/>
      <c r="AR2" s="2"/>
      <c r="AS2" s="13"/>
    </row>
    <row r="3" spans="1:48" ht="30" x14ac:dyDescent="0.2">
      <c r="A3" s="14" t="s">
        <v>8</v>
      </c>
      <c r="B3" s="15" t="s">
        <v>9</v>
      </c>
      <c r="C3" s="15" t="s">
        <v>10</v>
      </c>
      <c r="D3" s="16" t="s">
        <v>11</v>
      </c>
      <c r="E3" s="14" t="s">
        <v>8</v>
      </c>
      <c r="F3" s="15" t="s">
        <v>9</v>
      </c>
      <c r="G3" s="15" t="s">
        <v>10</v>
      </c>
      <c r="H3" s="16" t="s">
        <v>11</v>
      </c>
      <c r="I3" s="14" t="s">
        <v>8</v>
      </c>
      <c r="J3" s="15" t="s">
        <v>9</v>
      </c>
      <c r="K3" s="15" t="s">
        <v>10</v>
      </c>
      <c r="L3" s="17" t="s">
        <v>11</v>
      </c>
      <c r="M3" s="14" t="s">
        <v>12</v>
      </c>
      <c r="N3" s="15" t="s">
        <v>13</v>
      </c>
      <c r="O3" s="18" t="s">
        <v>14</v>
      </c>
      <c r="P3" s="16" t="s">
        <v>15</v>
      </c>
      <c r="Q3" s="19" t="s">
        <v>16</v>
      </c>
      <c r="R3" s="20" t="s">
        <v>17</v>
      </c>
      <c r="S3" s="14" t="s">
        <v>18</v>
      </c>
      <c r="T3" s="17" t="s">
        <v>11</v>
      </c>
      <c r="U3" s="21" t="s">
        <v>19</v>
      </c>
      <c r="V3" s="15" t="s">
        <v>20</v>
      </c>
      <c r="W3" s="17" t="s">
        <v>11</v>
      </c>
      <c r="X3" s="21" t="s">
        <v>19</v>
      </c>
      <c r="Y3" s="15" t="s">
        <v>21</v>
      </c>
      <c r="Z3" s="17" t="s">
        <v>11</v>
      </c>
      <c r="AA3" s="21" t="s">
        <v>19</v>
      </c>
      <c r="AB3" s="15" t="s">
        <v>22</v>
      </c>
      <c r="AC3" s="17" t="s">
        <v>11</v>
      </c>
      <c r="AD3" s="21" t="s">
        <v>19</v>
      </c>
      <c r="AE3" s="15" t="s">
        <v>23</v>
      </c>
      <c r="AF3" s="21" t="s">
        <v>19</v>
      </c>
      <c r="AG3" s="15" t="s">
        <v>24</v>
      </c>
      <c r="AH3" s="21" t="s">
        <v>19</v>
      </c>
      <c r="AI3" s="15" t="s">
        <v>25</v>
      </c>
      <c r="AJ3" s="17" t="s">
        <v>11</v>
      </c>
      <c r="AK3" s="22" t="s">
        <v>19</v>
      </c>
      <c r="AM3" s="3"/>
      <c r="AN3" s="3"/>
    </row>
    <row r="4" spans="1:48" x14ac:dyDescent="0.2">
      <c r="A4" s="14" t="s">
        <v>26</v>
      </c>
      <c r="B4" s="15">
        <v>112.5</v>
      </c>
      <c r="C4" s="23">
        <f>B4/112.5</f>
        <v>1</v>
      </c>
      <c r="D4" s="24">
        <f>2*3.14158*B4*(12*1100*0.004022*(0.0896)^4*0.91/2100000000/0.004022^3)^0.5</f>
        <v>3.3744469817051326</v>
      </c>
      <c r="E4" s="14" t="s">
        <v>26</v>
      </c>
      <c r="F4" s="15">
        <v>116.4</v>
      </c>
      <c r="G4" s="23">
        <f>F4/116.4</f>
        <v>1</v>
      </c>
      <c r="H4" s="24">
        <f>2*3.14158*F4*(12*1050*0.00392*(0.08898)^4*0.91/2100000000/0.00392^3)^0.5</f>
        <v>3.4516452720050079</v>
      </c>
      <c r="I4" s="14" t="s">
        <v>26</v>
      </c>
      <c r="J4" s="15">
        <v>124</v>
      </c>
      <c r="K4" s="23">
        <f>J4/124</f>
        <v>1</v>
      </c>
      <c r="L4" s="25">
        <f>2*3.14158*J4*(12*1050*0.004012*(0.0899)^4*0.91/2440000000/0.004012^3)^0.5</f>
        <v>3.4022742556350449</v>
      </c>
      <c r="M4" s="26">
        <f>AVERAGE(B4,F4,J4)</f>
        <v>117.63333333333333</v>
      </c>
      <c r="N4" s="27">
        <f>AVERAGE(D4,H4,L4)</f>
        <v>3.409455503115062</v>
      </c>
      <c r="O4" s="28">
        <f>STDEV(D4,H4,L4)</f>
        <v>3.909695311444223E-2</v>
      </c>
      <c r="P4" s="29">
        <f>O4/N4*100</f>
        <v>1.1467213189531626</v>
      </c>
      <c r="Q4" s="30">
        <v>4.46</v>
      </c>
      <c r="R4" s="31">
        <f>2*3.14158*Q4*(12*2840*0.000381*0.275^4*0.91/72000000000/0.000381^3)^0.5</f>
        <v>3.6505443652257155</v>
      </c>
      <c r="S4" s="14">
        <v>109.05</v>
      </c>
      <c r="T4" s="25">
        <f>2*3.14158*S4*(12*1180*0.004*(0.05*1.8)^4*0.91/2107000000/0.004^3)^0.5</f>
        <v>3.431222425120477</v>
      </c>
      <c r="U4" s="32">
        <f>100*(T4-N4)/N4</f>
        <v>0.63842810048489118</v>
      </c>
      <c r="V4" s="15">
        <v>109.09</v>
      </c>
      <c r="W4" s="25">
        <f>2*3.14158*V4*(12*1180*0.004*(0.05*1.8)^4*0.91/2107000000/0.004^3)^0.5</f>
        <v>3.4324810119797604</v>
      </c>
      <c r="X4" s="32">
        <f>100*(W4-N4)/N4</f>
        <v>0.67534270043005717</v>
      </c>
      <c r="Y4" s="15">
        <v>104.13</v>
      </c>
      <c r="Z4" s="25">
        <f>2*3.14158*Y4*(12*1180*0.004*(0.05*1.8)^4*0.91/2107000000/0.004^3)^0.5</f>
        <v>3.2764162414286591</v>
      </c>
      <c r="AA4" s="32">
        <f>100*(Z4-N4)/N4</f>
        <v>-3.9020676927694486</v>
      </c>
      <c r="AB4" s="15">
        <v>104.3</v>
      </c>
      <c r="AC4" s="25">
        <f>2*3.14158*AB4*(12*1180*0.004*(0.05*1.8)^4*0.91/2107000000/0.004^3)^0.5</f>
        <v>3.2817652355806124</v>
      </c>
      <c r="AD4" s="32">
        <f>100*(AC4-N4)/N4</f>
        <v>-3.7451806430025223</v>
      </c>
      <c r="AE4" s="23">
        <v>94.688999999999993</v>
      </c>
      <c r="AF4" s="32">
        <f>100*(AE4-M4)/M4</f>
        <v>-19.504958911873054</v>
      </c>
      <c r="AG4" s="23">
        <v>105.72</v>
      </c>
      <c r="AH4" s="32">
        <f>100*(AG4-M4)/M4</f>
        <v>-10.127514876735614</v>
      </c>
      <c r="AI4" s="15">
        <v>108.6</v>
      </c>
      <c r="AJ4" s="25">
        <f>2*3.14158*AI4*(12*1180*0.004*(0.05*1.8)^4*0.91/2107000000/0.004^3)^0.5</f>
        <v>3.4170633229535423</v>
      </c>
      <c r="AK4" s="33">
        <f>100*(AJ4-N4)/N4</f>
        <v>0.22313885110186782</v>
      </c>
      <c r="AM4" s="3"/>
      <c r="AN4" s="3"/>
    </row>
    <row r="5" spans="1:48" x14ac:dyDescent="0.2">
      <c r="A5" s="14" t="s">
        <v>27</v>
      </c>
      <c r="B5" s="15">
        <v>433.6</v>
      </c>
      <c r="C5" s="23">
        <f t="shared" ref="C5:C8" si="0">B5/112.5</f>
        <v>3.8542222222222224</v>
      </c>
      <c r="D5" s="24">
        <f t="shared" ref="D5:D8" si="1">2*3.14158*B5*(12*1100*0.004022*(0.0896)^4*0.91/2100000000/0.004022^3)^0.5</f>
        <v>13.005868544598627</v>
      </c>
      <c r="E5" s="14" t="s">
        <v>27</v>
      </c>
      <c r="F5" s="15">
        <v>429.7</v>
      </c>
      <c r="G5" s="23">
        <f t="shared" ref="G5:G8" si="2">F5/116.4</f>
        <v>3.6915807560137455</v>
      </c>
      <c r="H5" s="24">
        <f t="shared" ref="H5:H8" si="3">2*3.14158*F5*(12*1050*0.00392*(0.08898)^4*0.91/2100000000/0.00392^3)^0.5</f>
        <v>12.742027262719516</v>
      </c>
      <c r="I5" s="14" t="s">
        <v>27</v>
      </c>
      <c r="J5" s="15">
        <v>488</v>
      </c>
      <c r="K5" s="23">
        <f t="shared" ref="K5:K8" si="4">J5/124</f>
        <v>3.935483870967742</v>
      </c>
      <c r="L5" s="25">
        <f t="shared" ref="L5:L8" si="5">2*3.14158*J5*(12*1050*0.004012*(0.0899)^4*0.91/2440000000/0.004012^3)^0.5</f>
        <v>13.389595457660501</v>
      </c>
      <c r="M5" s="26">
        <f t="shared" ref="M5:M8" si="6">AVERAGE(B5,F5,J5)</f>
        <v>450.43333333333334</v>
      </c>
      <c r="N5" s="27">
        <f t="shared" ref="N5:N8" si="7">AVERAGE(D5,H5,L5)</f>
        <v>13.04583042165955</v>
      </c>
      <c r="O5" s="28">
        <f t="shared" ref="O5:O8" si="8">STDEV(D5,H5,L5)</f>
        <v>0.32562840092420647</v>
      </c>
      <c r="P5" s="29">
        <f t="shared" ref="P5:P8" si="9">O5/N5*100</f>
        <v>2.4960342914129612</v>
      </c>
      <c r="Q5" s="30">
        <v>18.559999999999999</v>
      </c>
      <c r="R5" s="31">
        <f>2*3.14158*Q5*(12*2840*0.000381*0.275^4*0.91/72000000000/0.000381^3)^0.5</f>
        <v>15.191503008652303</v>
      </c>
      <c r="S5" s="14">
        <v>416.67</v>
      </c>
      <c r="T5" s="25">
        <f t="shared" ref="T5:T8" si="10">2*3.14158*S5*(12*1180*0.004*(0.05*1.8)^4*0.91/2107000000/0.004^3)^0.5</f>
        <v>13.11038466643695</v>
      </c>
      <c r="U5" s="34">
        <f>100*(T5-N5)/N5</f>
        <v>0.4948266433865508</v>
      </c>
      <c r="V5" s="15">
        <v>417.68</v>
      </c>
      <c r="W5" s="25">
        <f t="shared" ref="W5:W8" si="11">2*3.14158*V5*(12*1180*0.004*(0.05*1.8)^4*0.91/2107000000/0.004^3)^0.5</f>
        <v>13.142163984633846</v>
      </c>
      <c r="X5" s="34">
        <f>100*(W5-N5)/N5</f>
        <v>0.73842415439002429</v>
      </c>
      <c r="Y5" s="15">
        <v>352.22</v>
      </c>
      <c r="Z5" s="25">
        <f t="shared" ref="Z5:Z8" si="12">2*3.14158*Y5*(12*1180*0.004*(0.05*1.8)^4*0.91/2107000000/0.004^3)^0.5</f>
        <v>11.082486589417099</v>
      </c>
      <c r="AA5" s="34">
        <f>100*(Z5-N5)/N5</f>
        <v>-15.049588786489036</v>
      </c>
      <c r="AB5" s="15">
        <v>352.22</v>
      </c>
      <c r="AC5" s="25">
        <f t="shared" ref="AC5:AC8" si="13">2*3.14158*AB5*(12*1180*0.004*(0.05*1.8)^4*0.91/2107000000/0.004^3)^0.5</f>
        <v>11.082486589417099</v>
      </c>
      <c r="AD5" s="34">
        <f>100*(AC5-N5)/N5</f>
        <v>-15.049588786489036</v>
      </c>
      <c r="AE5" s="23">
        <v>363.37</v>
      </c>
      <c r="AF5" s="32">
        <f>100*(AE5-M5)/M5</f>
        <v>-19.328794494190781</v>
      </c>
      <c r="AG5" s="23">
        <v>404.23</v>
      </c>
      <c r="AH5" s="32">
        <f>100*(AG5-M5)/M5</f>
        <v>-10.257529786131871</v>
      </c>
      <c r="AI5" s="15">
        <v>414.92</v>
      </c>
      <c r="AJ5" s="25">
        <f t="shared" ref="AJ5:AJ8" si="14">2*3.14158*AI5*(12*1180*0.004*(0.05*1.8)^4*0.91/2107000000/0.004^3)^0.5</f>
        <v>13.055321491343316</v>
      </c>
      <c r="AK5" s="35">
        <f>100*(AJ5-N5)/N5</f>
        <v>7.275174808349047E-2</v>
      </c>
      <c r="AM5" s="3"/>
      <c r="AN5" s="3"/>
    </row>
    <row r="6" spans="1:48" x14ac:dyDescent="0.2">
      <c r="A6" s="14" t="s">
        <v>28</v>
      </c>
      <c r="B6" s="15">
        <v>697.7</v>
      </c>
      <c r="C6" s="23">
        <f t="shared" si="0"/>
        <v>6.2017777777777781</v>
      </c>
      <c r="D6" s="24">
        <f t="shared" si="1"/>
        <v>20.927570303428183</v>
      </c>
      <c r="E6" s="14" t="s">
        <v>28</v>
      </c>
      <c r="F6" s="15">
        <v>724.2</v>
      </c>
      <c r="G6" s="23">
        <f t="shared" si="2"/>
        <v>6.2216494845360826</v>
      </c>
      <c r="H6" s="24">
        <f t="shared" si="3"/>
        <v>21.474927027371361</v>
      </c>
      <c r="I6" s="14" t="s">
        <v>28</v>
      </c>
      <c r="J6" s="15">
        <v>774</v>
      </c>
      <c r="K6" s="23">
        <f t="shared" si="4"/>
        <v>6.241935483870968</v>
      </c>
      <c r="L6" s="25">
        <f t="shared" si="5"/>
        <v>21.236776402109072</v>
      </c>
      <c r="M6" s="26">
        <f t="shared" si="6"/>
        <v>731.9666666666667</v>
      </c>
      <c r="N6" s="27">
        <f t="shared" si="7"/>
        <v>21.213091244302873</v>
      </c>
      <c r="O6" s="28">
        <f t="shared" si="8"/>
        <v>0.27444596159659651</v>
      </c>
      <c r="P6" s="29">
        <f t="shared" si="9"/>
        <v>1.2937575124526157</v>
      </c>
      <c r="Q6" s="30">
        <v>28.16</v>
      </c>
      <c r="R6" s="31">
        <f>2*3.14158*Q6*(12*2840*0.000381*0.275^4*0.91/72000000000/0.000381^3)^0.5</f>
        <v>23.049176978644876</v>
      </c>
      <c r="S6" s="14">
        <v>672.94</v>
      </c>
      <c r="T6" s="25">
        <f t="shared" si="10"/>
        <v>21.173836027148777</v>
      </c>
      <c r="U6" s="32">
        <f>100*(T6-N6)/N6</f>
        <v>-0.18505184700338731</v>
      </c>
      <c r="V6" s="15">
        <v>674.18</v>
      </c>
      <c r="W6" s="25">
        <f t="shared" si="11"/>
        <v>21.212852219786548</v>
      </c>
      <c r="X6" s="32">
        <f>100*(W6-N6)/N6</f>
        <v>-1.1267783350043736E-3</v>
      </c>
      <c r="Y6" s="15">
        <v>646.65</v>
      </c>
      <c r="Z6" s="25">
        <f t="shared" si="12"/>
        <v>20.346629813884974</v>
      </c>
      <c r="AA6" s="32">
        <f>100*(Z6-N6)/N6</f>
        <v>-4.084559956110132</v>
      </c>
      <c r="AB6" s="15">
        <v>643.61</v>
      </c>
      <c r="AC6" s="25">
        <f t="shared" si="13"/>
        <v>20.250977212579464</v>
      </c>
      <c r="AD6" s="32">
        <f>100*(AC6-N6)/N6</f>
        <v>-4.5354730276842652</v>
      </c>
      <c r="AE6" s="23">
        <v>585.11</v>
      </c>
      <c r="AF6" s="32">
        <f>100*(AE6-M6)/M6</f>
        <v>-20.063299785964752</v>
      </c>
      <c r="AG6" s="23">
        <v>652.74</v>
      </c>
      <c r="AH6" s="32">
        <f>100*(AG6-M6)/M6</f>
        <v>-10.823808005829047</v>
      </c>
      <c r="AI6" s="15">
        <v>670.35</v>
      </c>
      <c r="AJ6" s="25">
        <f t="shared" si="14"/>
        <v>21.092342528010199</v>
      </c>
      <c r="AK6" s="33">
        <f>100*(AJ6-N6)/N6</f>
        <v>-0.56921791785109577</v>
      </c>
      <c r="AM6" s="3"/>
      <c r="AN6" s="3"/>
    </row>
    <row r="7" spans="1:48" x14ac:dyDescent="0.2">
      <c r="A7" s="14" t="s">
        <v>29</v>
      </c>
      <c r="B7" s="15">
        <v>1432</v>
      </c>
      <c r="C7" s="23">
        <f t="shared" si="0"/>
        <v>12.728888888888889</v>
      </c>
      <c r="D7" s="24">
        <f t="shared" si="1"/>
        <v>42.952960691571107</v>
      </c>
      <c r="E7" s="14" t="s">
        <v>29</v>
      </c>
      <c r="F7" s="15">
        <v>1427</v>
      </c>
      <c r="G7" s="23">
        <f t="shared" si="2"/>
        <v>12.259450171821305</v>
      </c>
      <c r="H7" s="24">
        <f t="shared" si="3"/>
        <v>42.315273222947987</v>
      </c>
      <c r="I7" s="14" t="s">
        <v>29</v>
      </c>
      <c r="J7" s="15">
        <v>1616</v>
      </c>
      <c r="K7" s="23">
        <f t="shared" si="4"/>
        <v>13.03225806451613</v>
      </c>
      <c r="L7" s="25">
        <f t="shared" si="5"/>
        <v>44.339316105695431</v>
      </c>
      <c r="M7" s="26">
        <f t="shared" si="6"/>
        <v>1491.6666666666667</v>
      </c>
      <c r="N7" s="27">
        <f t="shared" si="7"/>
        <v>43.202516673404851</v>
      </c>
      <c r="O7" s="28">
        <f t="shared" si="8"/>
        <v>1.034841069368575</v>
      </c>
      <c r="P7" s="29">
        <f t="shared" si="9"/>
        <v>2.3953258954601955</v>
      </c>
      <c r="Q7" s="30">
        <v>58.63</v>
      </c>
      <c r="R7" s="31">
        <f>2*3.14158*Q7*(12*2840*0.000381*0.275^4*0.91/72000000000/0.000381^3)^0.5</f>
        <v>47.989106756319217</v>
      </c>
      <c r="S7" s="14">
        <v>1362</v>
      </c>
      <c r="T7" s="25">
        <f t="shared" si="10"/>
        <v>42.854882558588628</v>
      </c>
      <c r="U7" s="34">
        <f>100*(T7-N7)/N7</f>
        <v>-0.80466172247373824</v>
      </c>
      <c r="V7" s="15">
        <v>1367</v>
      </c>
      <c r="W7" s="25">
        <f t="shared" si="11"/>
        <v>43.012205915999012</v>
      </c>
      <c r="X7" s="34">
        <f>100*(W7-N7)/N7</f>
        <v>-0.44050849825374516</v>
      </c>
      <c r="Y7" s="15">
        <v>1056.7</v>
      </c>
      <c r="Z7" s="25">
        <f t="shared" si="12"/>
        <v>33.248718355110576</v>
      </c>
      <c r="AA7" s="34">
        <f>100*(Z7-N7)/N7</f>
        <v>-23.039857593346547</v>
      </c>
      <c r="AB7" s="15">
        <v>1056.7</v>
      </c>
      <c r="AC7" s="25">
        <f t="shared" si="13"/>
        <v>33.248718355110576</v>
      </c>
      <c r="AD7" s="34">
        <f>100*(AC7-N7)/N7</f>
        <v>-23.039857593346547</v>
      </c>
      <c r="AE7" s="23">
        <v>1188.8</v>
      </c>
      <c r="AF7" s="32">
        <f>100*(AE7-M7)/M7</f>
        <v>-20.303910614525147</v>
      </c>
      <c r="AG7" s="23">
        <v>1321.89</v>
      </c>
      <c r="AH7" s="32">
        <f>100*(AG7-M7)/M7</f>
        <v>-11.381675977653629</v>
      </c>
      <c r="AI7" s="15">
        <v>1356.6</v>
      </c>
      <c r="AJ7" s="25">
        <f t="shared" si="14"/>
        <v>42.684973332585415</v>
      </c>
      <c r="AK7" s="35">
        <f>100*(AJ7-N7)/N7</f>
        <v>-1.1979472046313273</v>
      </c>
      <c r="AM7" s="3"/>
      <c r="AN7" s="3"/>
    </row>
    <row r="8" spans="1:48" x14ac:dyDescent="0.2">
      <c r="A8" s="14" t="s">
        <v>30</v>
      </c>
      <c r="B8" s="15">
        <v>1938</v>
      </c>
      <c r="C8" s="23">
        <f t="shared" si="0"/>
        <v>17.226666666666667</v>
      </c>
      <c r="D8" s="24">
        <f t="shared" si="1"/>
        <v>58.130473338173744</v>
      </c>
      <c r="E8" s="14" t="s">
        <v>30</v>
      </c>
      <c r="F8" s="15">
        <v>2008</v>
      </c>
      <c r="G8" s="23">
        <f t="shared" si="2"/>
        <v>17.250859106529209</v>
      </c>
      <c r="H8" s="24">
        <f t="shared" si="3"/>
        <v>59.543846273076078</v>
      </c>
      <c r="I8" s="14" t="s">
        <v>30</v>
      </c>
      <c r="J8" s="15">
        <v>2144</v>
      </c>
      <c r="K8" s="23">
        <f t="shared" si="4"/>
        <v>17.29032258064516</v>
      </c>
      <c r="L8" s="25">
        <f t="shared" si="5"/>
        <v>58.826419387754328</v>
      </c>
      <c r="M8" s="26">
        <f t="shared" si="6"/>
        <v>2030</v>
      </c>
      <c r="N8" s="27">
        <f t="shared" si="7"/>
        <v>58.833579666334714</v>
      </c>
      <c r="O8" s="28">
        <f t="shared" si="8"/>
        <v>0.70671367290482001</v>
      </c>
      <c r="P8" s="29">
        <f t="shared" si="9"/>
        <v>1.2012080123508277</v>
      </c>
      <c r="Q8" s="30">
        <v>77.680000000000007</v>
      </c>
      <c r="R8" s="31">
        <f>2*3.14158*Q8*(12*2840*0.000381*0.275^4*0.91/72000000000/0.000381^3)^0.5</f>
        <v>63.581678540523228</v>
      </c>
      <c r="S8" s="14">
        <v>1852.4</v>
      </c>
      <c r="T8" s="25">
        <f t="shared" si="10"/>
        <v>58.285157453399108</v>
      </c>
      <c r="U8" s="32">
        <f>100*(T8-N8)/N8</f>
        <v>-0.93215849867693734</v>
      </c>
      <c r="V8" s="15">
        <v>1860.9</v>
      </c>
      <c r="W8" s="25">
        <f t="shared" si="11"/>
        <v>58.552607160996757</v>
      </c>
      <c r="X8" s="32">
        <f>100*(W8-N8)/N8</f>
        <v>-0.4775716638889686</v>
      </c>
      <c r="Y8" s="15">
        <v>1784.8</v>
      </c>
      <c r="Z8" s="25">
        <f t="shared" si="12"/>
        <v>56.15814566121071</v>
      </c>
      <c r="AA8" s="32">
        <f>100*(Z8-N8)/N8</f>
        <v>-4.5474608553436688</v>
      </c>
      <c r="AB8" s="15">
        <v>1761.2</v>
      </c>
      <c r="AC8" s="25">
        <f t="shared" si="13"/>
        <v>55.415579414233697</v>
      </c>
      <c r="AD8" s="32">
        <f>100*(AC8-N8)/N8</f>
        <v>-5.8096078319314604</v>
      </c>
      <c r="AE8" s="23">
        <v>1614.4</v>
      </c>
      <c r="AF8" s="32">
        <f>100*(AE8-M8)/M8</f>
        <v>-20.472906403940883</v>
      </c>
      <c r="AG8" s="23">
        <v>1798.3</v>
      </c>
      <c r="AH8" s="32">
        <f>100*(AG8-M8)/M8</f>
        <v>-11.413793103448278</v>
      </c>
      <c r="AI8" s="15">
        <v>1846.1</v>
      </c>
      <c r="AJ8" s="25">
        <f t="shared" si="14"/>
        <v>58.08693002306201</v>
      </c>
      <c r="AK8" s="33">
        <f>100*(AJ8-N8)/N8</f>
        <v>-1.2690875644609911</v>
      </c>
      <c r="AM8" s="3"/>
      <c r="AN8" s="3"/>
    </row>
    <row r="9" spans="1:48" ht="15.75" thickBot="1" x14ac:dyDescent="0.25">
      <c r="A9" s="36" t="s">
        <v>31</v>
      </c>
      <c r="B9" s="37"/>
      <c r="C9" s="38"/>
      <c r="D9" s="39"/>
      <c r="E9" s="36" t="s">
        <v>31</v>
      </c>
      <c r="F9" s="37"/>
      <c r="G9" s="38"/>
      <c r="H9" s="39"/>
      <c r="I9" s="36" t="s">
        <v>31</v>
      </c>
      <c r="J9" s="37">
        <v>2892</v>
      </c>
      <c r="K9" s="40">
        <f>J9/124</f>
        <v>23.322580645161292</v>
      </c>
      <c r="L9" s="41">
        <f>2*3.14158*J9*(12*1050*0.004*(0.05*1.8)^4*0.91/2440000000/0.004^3)^0.5</f>
        <v>79.765022280848868</v>
      </c>
      <c r="M9" s="42"/>
      <c r="N9" s="43"/>
      <c r="O9" s="43"/>
      <c r="P9" s="44"/>
      <c r="Q9" s="43"/>
      <c r="R9" s="43"/>
      <c r="S9" s="45">
        <v>2636.8</v>
      </c>
      <c r="T9" s="46">
        <f>2*3.14158*S9*(12*1180*0.004*(0.05*1.8)^4*0.91/2107000000/0.004^3)^0.5</f>
        <v>82.966045763940173</v>
      </c>
      <c r="U9" s="47"/>
      <c r="V9" s="48">
        <v>2652.9</v>
      </c>
      <c r="W9" s="46">
        <f>2*3.14158*V9*(12*1180*0.004*(0.05*1.8)^4*0.91/2107000000/0.004^3)^0.5</f>
        <v>83.472626974801599</v>
      </c>
      <c r="X9" s="47"/>
      <c r="Y9" s="48" t="s">
        <v>32</v>
      </c>
      <c r="Z9" s="49"/>
      <c r="AA9" s="47" t="s">
        <v>32</v>
      </c>
      <c r="AB9" s="48" t="s">
        <v>32</v>
      </c>
      <c r="AC9" s="46"/>
      <c r="AD9" s="47" t="s">
        <v>32</v>
      </c>
      <c r="AE9" s="50">
        <v>2044.3</v>
      </c>
      <c r="AF9" s="47"/>
      <c r="AG9" s="47">
        <v>2290.8000000000002</v>
      </c>
      <c r="AH9" s="47"/>
      <c r="AI9" s="48">
        <v>2355.6999999999998</v>
      </c>
      <c r="AJ9" s="46">
        <f>2*3.14158*AI9*(12*1180*0.004*(0.05*1.8)^4*0.91/2107000000/0.004^3)^0.5</f>
        <v>74.121326610328367</v>
      </c>
      <c r="AK9" s="51"/>
      <c r="AM9" s="3"/>
      <c r="AN9" s="3"/>
    </row>
    <row r="10" spans="1:48" x14ac:dyDescent="0.2">
      <c r="A10" s="52" t="s">
        <v>33</v>
      </c>
      <c r="B10" s="53" t="s">
        <v>34</v>
      </c>
      <c r="C10" s="54" t="s">
        <v>35</v>
      </c>
      <c r="D10" s="55" t="s">
        <v>36</v>
      </c>
      <c r="E10" s="52" t="s">
        <v>33</v>
      </c>
      <c r="F10" s="53" t="s">
        <v>34</v>
      </c>
      <c r="G10" s="54" t="s">
        <v>35</v>
      </c>
      <c r="H10" s="55" t="s">
        <v>36</v>
      </c>
      <c r="I10" s="52" t="s">
        <v>33</v>
      </c>
      <c r="J10" s="53" t="s">
        <v>34</v>
      </c>
      <c r="K10" s="54" t="s">
        <v>35</v>
      </c>
      <c r="L10" s="55" t="s">
        <v>36</v>
      </c>
      <c r="O10" s="56"/>
      <c r="P10" s="57"/>
      <c r="Q10" s="57"/>
      <c r="R10" s="57"/>
      <c r="T10" s="56"/>
      <c r="U10" s="57"/>
      <c r="W10" s="56"/>
      <c r="X10" s="57"/>
      <c r="Z10" s="56"/>
      <c r="AA10" s="57"/>
      <c r="AC10" s="57"/>
      <c r="AD10" s="57"/>
      <c r="AF10" s="57"/>
      <c r="AI10" s="57"/>
      <c r="AJ10" s="3"/>
      <c r="AK10" s="3"/>
      <c r="AL10" s="3"/>
      <c r="AM10" s="3"/>
      <c r="AN10" s="3"/>
    </row>
    <row r="11" spans="1:48" x14ac:dyDescent="0.2">
      <c r="A11" s="14" t="s">
        <v>37</v>
      </c>
      <c r="B11" s="15">
        <v>2500</v>
      </c>
      <c r="C11" s="58">
        <v>0</v>
      </c>
      <c r="D11" s="59">
        <v>0.78129999999999999</v>
      </c>
      <c r="E11" s="14" t="s">
        <v>37</v>
      </c>
      <c r="F11" s="15">
        <v>2500</v>
      </c>
      <c r="G11" s="58">
        <v>0</v>
      </c>
      <c r="H11" s="59">
        <v>0.78129999999999999</v>
      </c>
      <c r="I11" s="14" t="s">
        <v>37</v>
      </c>
      <c r="J11" s="15">
        <v>3000</v>
      </c>
      <c r="K11" s="58">
        <v>0</v>
      </c>
      <c r="L11" s="59"/>
      <c r="O11" s="56"/>
      <c r="P11" s="57"/>
      <c r="Q11" s="57"/>
      <c r="R11" s="57"/>
      <c r="T11" s="56"/>
      <c r="U11" s="57"/>
      <c r="W11" s="56"/>
      <c r="X11" s="57"/>
      <c r="Z11" s="56"/>
      <c r="AA11" s="57"/>
      <c r="AC11" s="57"/>
      <c r="AD11" s="57"/>
      <c r="AF11" s="57"/>
      <c r="AI11" s="57"/>
      <c r="AJ11" s="3"/>
      <c r="AK11" s="3"/>
      <c r="AL11" s="3"/>
      <c r="AM11" s="3"/>
      <c r="AN11" s="3"/>
    </row>
    <row r="12" spans="1:48" x14ac:dyDescent="0.2">
      <c r="A12" s="14"/>
      <c r="B12" s="60" t="s">
        <v>38</v>
      </c>
      <c r="C12" s="58" t="s">
        <v>39</v>
      </c>
      <c r="D12" s="59" t="s">
        <v>40</v>
      </c>
      <c r="E12" s="14"/>
      <c r="F12" s="60" t="s">
        <v>38</v>
      </c>
      <c r="G12" s="58" t="s">
        <v>39</v>
      </c>
      <c r="H12" s="59" t="s">
        <v>40</v>
      </c>
      <c r="I12" s="14"/>
      <c r="J12" s="60" t="s">
        <v>38</v>
      </c>
      <c r="K12" s="58" t="s">
        <v>39</v>
      </c>
      <c r="L12" s="59" t="s">
        <v>40</v>
      </c>
      <c r="O12" s="56"/>
      <c r="P12" s="57"/>
      <c r="Q12" s="57"/>
      <c r="R12" s="57"/>
      <c r="T12" s="56"/>
      <c r="U12" s="57"/>
      <c r="W12" s="56"/>
      <c r="X12" s="57"/>
      <c r="Z12" s="56"/>
      <c r="AA12" s="57"/>
      <c r="AC12" s="57"/>
      <c r="AD12" s="57"/>
      <c r="AF12" s="57"/>
      <c r="AI12" s="57"/>
      <c r="AJ12" s="3"/>
      <c r="AK12" s="3"/>
      <c r="AL12" s="3"/>
      <c r="AM12" s="3"/>
      <c r="AN12" s="3"/>
    </row>
    <row r="13" spans="1:48" ht="15.75" thickBot="1" x14ac:dyDescent="0.25">
      <c r="A13" s="61" t="s">
        <v>41</v>
      </c>
      <c r="B13" s="62">
        <v>7</v>
      </c>
      <c r="C13" s="63">
        <v>3</v>
      </c>
      <c r="D13" s="64" t="s">
        <v>42</v>
      </c>
      <c r="E13" s="61" t="s">
        <v>41</v>
      </c>
      <c r="F13" s="62">
        <v>7</v>
      </c>
      <c r="G13" s="63">
        <v>3</v>
      </c>
      <c r="H13" s="64" t="s">
        <v>42</v>
      </c>
      <c r="I13" s="61" t="s">
        <v>41</v>
      </c>
      <c r="J13" s="62">
        <v>7</v>
      </c>
      <c r="K13" s="63">
        <v>3</v>
      </c>
      <c r="L13" s="64" t="s">
        <v>43</v>
      </c>
      <c r="O13" s="56"/>
      <c r="P13" s="57"/>
      <c r="Q13" s="57"/>
      <c r="R13" s="57"/>
      <c r="T13" s="56"/>
      <c r="U13" s="57"/>
      <c r="W13" s="56"/>
      <c r="X13" s="57"/>
      <c r="Z13" s="56"/>
      <c r="AA13" s="57"/>
      <c r="AC13" s="57"/>
      <c r="AD13" s="57"/>
      <c r="AF13" s="57"/>
      <c r="AI13" s="57"/>
      <c r="AJ13" s="3"/>
      <c r="AK13" s="3"/>
      <c r="AL13" s="3"/>
      <c r="AM13" s="3"/>
      <c r="AN13" s="3"/>
    </row>
    <row r="14" spans="1:48" x14ac:dyDescent="0.2">
      <c r="C14" s="56"/>
      <c r="D14" s="56"/>
      <c r="G14" s="56"/>
      <c r="H14" s="56"/>
      <c r="K14" s="56"/>
      <c r="L14" s="56"/>
      <c r="N14" s="56"/>
      <c r="O14" s="57"/>
      <c r="Q14" s="56"/>
      <c r="R14" s="57"/>
      <c r="T14" s="56"/>
      <c r="U14" s="57"/>
      <c r="W14" s="56"/>
      <c r="X14" s="57"/>
      <c r="Z14" s="57"/>
      <c r="AA14" s="57"/>
      <c r="AC14" s="57"/>
      <c r="AF14" s="57"/>
      <c r="AG14" s="3"/>
      <c r="AH14" s="3"/>
      <c r="AI14" s="3"/>
      <c r="AJ14" s="3"/>
      <c r="AK14" s="3"/>
      <c r="AL14" s="3"/>
      <c r="AM14" s="3"/>
      <c r="AN14" s="3"/>
    </row>
    <row r="15" spans="1:48" ht="15.75" thickBot="1" x14ac:dyDescent="0.25">
      <c r="C15" s="56"/>
      <c r="D15" s="56"/>
      <c r="G15" s="56"/>
      <c r="H15" s="56"/>
      <c r="K15" s="56"/>
      <c r="L15" s="56"/>
      <c r="N15" s="56"/>
      <c r="O15" s="57"/>
      <c r="Q15" s="56"/>
      <c r="R15" s="57"/>
      <c r="T15" s="56"/>
      <c r="U15" s="57"/>
      <c r="W15" s="56"/>
      <c r="X15" s="57"/>
      <c r="Z15" s="57"/>
      <c r="AA15" s="57"/>
      <c r="AC15" s="57"/>
      <c r="AF15" s="57"/>
      <c r="AG15" s="3"/>
      <c r="AH15" s="3"/>
      <c r="AI15" s="3"/>
      <c r="AJ15" s="3"/>
      <c r="AK15" s="3"/>
      <c r="AL15" s="3"/>
      <c r="AM15" s="3"/>
      <c r="AN15" s="3"/>
    </row>
    <row r="16" spans="1:48" ht="18.75" x14ac:dyDescent="0.2">
      <c r="A16" s="65" t="s">
        <v>44</v>
      </c>
      <c r="B16" s="66" t="s">
        <v>45</v>
      </c>
      <c r="C16" s="66"/>
      <c r="D16" s="67"/>
      <c r="E16" s="65" t="s">
        <v>46</v>
      </c>
      <c r="F16" s="66" t="s">
        <v>45</v>
      </c>
      <c r="G16" s="68"/>
      <c r="H16" s="67"/>
      <c r="I16" s="65" t="s">
        <v>47</v>
      </c>
      <c r="J16" s="66" t="s">
        <v>45</v>
      </c>
      <c r="K16" s="68"/>
      <c r="L16" s="69"/>
      <c r="M16" s="65" t="s">
        <v>6</v>
      </c>
      <c r="N16" s="66"/>
      <c r="O16" s="70"/>
      <c r="P16" s="71"/>
      <c r="Q16" s="72" t="s">
        <v>48</v>
      </c>
      <c r="R16" s="73" t="s">
        <v>45</v>
      </c>
      <c r="S16" s="73" t="s">
        <v>49</v>
      </c>
      <c r="T16" s="73"/>
      <c r="U16" s="73"/>
      <c r="V16" s="73"/>
      <c r="W16" s="74"/>
      <c r="X16" s="75"/>
      <c r="Y16" s="76"/>
      <c r="Z16" s="74"/>
      <c r="AA16" s="75"/>
      <c r="AB16" s="75"/>
      <c r="AC16" s="75"/>
      <c r="AD16" s="65" t="s">
        <v>7</v>
      </c>
      <c r="AE16" s="68"/>
      <c r="AF16" s="77"/>
      <c r="AG16" s="65"/>
      <c r="AH16" s="68"/>
      <c r="AI16" s="77"/>
      <c r="AJ16" s="65"/>
      <c r="AK16" s="68"/>
      <c r="AL16" s="77"/>
      <c r="AM16" s="65"/>
      <c r="AN16" s="68"/>
      <c r="AO16" s="77"/>
      <c r="AP16" s="65"/>
      <c r="AQ16" s="66"/>
      <c r="AR16" s="66"/>
      <c r="AS16" s="66"/>
      <c r="AT16" s="66"/>
      <c r="AU16" s="68"/>
      <c r="AV16" s="77"/>
    </row>
    <row r="17" spans="1:56" ht="30" x14ac:dyDescent="0.2">
      <c r="A17" s="14" t="s">
        <v>8</v>
      </c>
      <c r="B17" s="78" t="s">
        <v>9</v>
      </c>
      <c r="C17" s="78" t="s">
        <v>10</v>
      </c>
      <c r="D17" s="79" t="s">
        <v>11</v>
      </c>
      <c r="E17" s="14" t="s">
        <v>8</v>
      </c>
      <c r="F17" s="15" t="s">
        <v>9</v>
      </c>
      <c r="G17" s="15" t="s">
        <v>10</v>
      </c>
      <c r="H17" s="16" t="s">
        <v>11</v>
      </c>
      <c r="I17" s="14" t="s">
        <v>8</v>
      </c>
      <c r="J17" s="15" t="s">
        <v>9</v>
      </c>
      <c r="K17" s="15" t="s">
        <v>10</v>
      </c>
      <c r="L17" s="17" t="s">
        <v>11</v>
      </c>
      <c r="M17" s="14" t="s">
        <v>12</v>
      </c>
      <c r="N17" s="15" t="s">
        <v>13</v>
      </c>
      <c r="O17" s="15" t="s">
        <v>14</v>
      </c>
      <c r="P17" s="16" t="s">
        <v>15</v>
      </c>
      <c r="Q17" s="80" t="s">
        <v>8</v>
      </c>
      <c r="R17" s="81" t="s">
        <v>50</v>
      </c>
      <c r="S17" s="81" t="s">
        <v>51</v>
      </c>
      <c r="T17" s="81" t="s">
        <v>52</v>
      </c>
      <c r="U17" s="81" t="s">
        <v>53</v>
      </c>
      <c r="V17" s="81" t="s">
        <v>54</v>
      </c>
      <c r="W17" s="81" t="s">
        <v>10</v>
      </c>
      <c r="X17" s="82" t="s">
        <v>11</v>
      </c>
      <c r="Y17" s="83" t="s">
        <v>55</v>
      </c>
      <c r="Z17" s="81" t="s">
        <v>56</v>
      </c>
      <c r="AA17" s="19" t="s">
        <v>57</v>
      </c>
      <c r="AB17" s="19" t="s">
        <v>58</v>
      </c>
      <c r="AC17" s="19" t="s">
        <v>59</v>
      </c>
      <c r="AD17" s="14" t="s">
        <v>18</v>
      </c>
      <c r="AE17" s="15" t="s">
        <v>11</v>
      </c>
      <c r="AF17" s="22" t="s">
        <v>19</v>
      </c>
      <c r="AG17" s="14" t="s">
        <v>20</v>
      </c>
      <c r="AH17" s="15" t="s">
        <v>11</v>
      </c>
      <c r="AI17" s="22" t="s">
        <v>19</v>
      </c>
      <c r="AJ17" s="14" t="s">
        <v>21</v>
      </c>
      <c r="AK17" s="15" t="s">
        <v>11</v>
      </c>
      <c r="AL17" s="22" t="s">
        <v>19</v>
      </c>
      <c r="AM17" s="14" t="s">
        <v>22</v>
      </c>
      <c r="AN17" s="15" t="s">
        <v>11</v>
      </c>
      <c r="AO17" s="22" t="s">
        <v>19</v>
      </c>
      <c r="AP17" s="14" t="s">
        <v>23</v>
      </c>
      <c r="AQ17" s="21" t="s">
        <v>19</v>
      </c>
      <c r="AR17" s="15" t="s">
        <v>24</v>
      </c>
      <c r="AS17" s="21" t="s">
        <v>19</v>
      </c>
      <c r="AT17" s="15" t="s">
        <v>25</v>
      </c>
      <c r="AU17" s="15" t="s">
        <v>11</v>
      </c>
      <c r="AV17" s="22" t="s">
        <v>19</v>
      </c>
    </row>
    <row r="18" spans="1:56" x14ac:dyDescent="0.2">
      <c r="A18" s="14" t="s">
        <v>26</v>
      </c>
      <c r="B18" s="78">
        <v>61.72</v>
      </c>
      <c r="C18" s="78">
        <f>B18/61.72</f>
        <v>1</v>
      </c>
      <c r="D18" s="84">
        <f>2*3.14158*B18*(12*1180*0.003981*(0.125)^4*0.91/2440000000/0.003981^3)^0.5</f>
        <v>3.4977542633015308</v>
      </c>
      <c r="E18" s="14" t="s">
        <v>26</v>
      </c>
      <c r="F18" s="15">
        <v>58.59</v>
      </c>
      <c r="G18" s="15">
        <f>F18/58.59</f>
        <v>1</v>
      </c>
      <c r="H18" s="24">
        <f>2*3.14158*F18*(12*1180*0.003987*(0.12447)^4*0.91/2107000000/0.003987^3)^0.5</f>
        <v>3.537568153686744</v>
      </c>
      <c r="I18" s="14" t="s">
        <v>26</v>
      </c>
      <c r="J18" s="15">
        <v>64.84</v>
      </c>
      <c r="K18" s="15">
        <f>J18/64.84</f>
        <v>1</v>
      </c>
      <c r="L18" s="25">
        <f>2*3.14158*J18*(12*1100*0.004*(0.05*2.5)^4*0.91/2440000000/0.004024^3)^0.5</f>
        <v>3.4994269933898572</v>
      </c>
      <c r="M18" s="26">
        <f>AVERAGE(B18,F18,J18)</f>
        <v>61.716666666666669</v>
      </c>
      <c r="N18" s="27">
        <f>AVERAGE(D18,H18,L18)</f>
        <v>3.5115831367927108</v>
      </c>
      <c r="O18" s="85">
        <f>STDEV(D18,H18,L18)</f>
        <v>2.251922142802671E-2</v>
      </c>
      <c r="P18" s="29">
        <f>O18/N18*100</f>
        <v>0.64128401780043132</v>
      </c>
      <c r="Q18" s="80" t="s">
        <v>26</v>
      </c>
      <c r="R18" s="86">
        <v>191.5</v>
      </c>
      <c r="S18" s="86">
        <v>191.5</v>
      </c>
      <c r="T18" s="86">
        <v>191.5</v>
      </c>
      <c r="U18" s="86">
        <f t="shared" ref="U18:U20" si="15">AVERAGE(R18:T18)</f>
        <v>191.5</v>
      </c>
      <c r="V18" s="86">
        <f t="shared" ref="V18:V21" si="16">STDEV(R18:T18)</f>
        <v>0</v>
      </c>
      <c r="W18" s="87">
        <f>R18/191.5</f>
        <v>1</v>
      </c>
      <c r="X18" s="88">
        <f>2*3.14158*U18*(12*2914*0.004*(0.05*2.5)^4*0.91/62000000000/0.004^3)^0.5</f>
        <v>3.3671865676860313</v>
      </c>
      <c r="Y18" s="89">
        <f>N18</f>
        <v>3.5115831367927108</v>
      </c>
      <c r="Z18" s="90">
        <f>(N18-X18)/X18*100</f>
        <v>4.2883447710445841</v>
      </c>
      <c r="AA18" s="88">
        <v>3.46</v>
      </c>
      <c r="AB18" s="88">
        <v>3.46</v>
      </c>
      <c r="AC18" s="91">
        <v>3.5</v>
      </c>
      <c r="AD18" s="14">
        <v>56.314999999999998</v>
      </c>
      <c r="AE18" s="23">
        <f>2*3.14158*AD18*(12*1250*0.004*(0.05*2.5)^4*0.91/2100000000/0.004024^3)^0.5</f>
        <v>3.4923836752982726</v>
      </c>
      <c r="AF18" s="33">
        <f>100*(AE18-N18)/N18</f>
        <v>-0.54674660250174034</v>
      </c>
      <c r="AG18" s="14">
        <v>56.320999999999998</v>
      </c>
      <c r="AH18" s="23">
        <f>2*3.14158*AG18*(12*1250*0.004*(0.05*2.5)^4*0.91/2100000000/0.004024^3)^0.5</f>
        <v>3.4927557662518693</v>
      </c>
      <c r="AI18" s="33">
        <f>100*(AH18-N18)/N18</f>
        <v>-0.53615049985794694</v>
      </c>
      <c r="AJ18" s="14">
        <v>55.216000000000001</v>
      </c>
      <c r="AK18" s="23">
        <f>2*3.14158*AJ18*(12*1250*0.004*(0.05*2.5)^4*0.91/2100000000/0.004024^3)^0.5</f>
        <v>3.4242290156311723</v>
      </c>
      <c r="AL18" s="33">
        <f>100*(AK18-N18)/N18</f>
        <v>-2.4875994034224411</v>
      </c>
      <c r="AM18" s="14">
        <v>55.26</v>
      </c>
      <c r="AN18" s="23">
        <f>2*3.14158*AM18*(12*1250*0.004*(0.05*2.5)^4*0.91/2100000000/0.004024^3)^0.5</f>
        <v>3.4269576826242134</v>
      </c>
      <c r="AO18" s="33">
        <f>100*(AN18-N18)/N18</f>
        <v>-2.4098946507013279</v>
      </c>
      <c r="AP18" s="14">
        <v>48.896000000000001</v>
      </c>
      <c r="AQ18" s="32">
        <f>100*(AP18-M18)/M18</f>
        <v>-20.773426951120715</v>
      </c>
      <c r="AR18" s="15">
        <v>54.588999999999999</v>
      </c>
      <c r="AS18" s="32">
        <f>100*(AR18-M18)/M18</f>
        <v>-11.549014312719422</v>
      </c>
      <c r="AT18" s="15">
        <v>54.866</v>
      </c>
      <c r="AU18" s="23">
        <f>2*3.14158*AT18*(12*1250*0.004*(0.05*2.5)^4*0.91/2100000000/0.004024^3)^0.5</f>
        <v>3.4025237100047065</v>
      </c>
      <c r="AV18" s="33">
        <f>100*(AU18-N18)/N18</f>
        <v>-3.1057053909768242</v>
      </c>
    </row>
    <row r="19" spans="1:56" x14ac:dyDescent="0.2">
      <c r="A19" s="14" t="s">
        <v>27</v>
      </c>
      <c r="B19" s="78">
        <v>297.7</v>
      </c>
      <c r="C19" s="78">
        <f t="shared" ref="C19:C22" si="17">B19/61.72</f>
        <v>4.8233959818535324</v>
      </c>
      <c r="D19" s="84">
        <f t="shared" ref="D19:D22" si="18">2*3.14158*B19*(12*1180*0.003981*(0.125)^4*0.91/2440000000/0.003981^3)^0.5</f>
        <v>16.871053859119666</v>
      </c>
      <c r="E19" s="14" t="s">
        <v>27</v>
      </c>
      <c r="F19" s="15">
        <v>303.89999999999998</v>
      </c>
      <c r="G19" s="15">
        <f t="shared" ref="G19:G22" si="19">F19/58.59</f>
        <v>5.1868919610855091</v>
      </c>
      <c r="H19" s="24">
        <f>2*3.14158*F19*(12*1180*0.003987*(0.12447)^4*0.91/2107000000/0.003987^3)^0.5</f>
        <v>18.348983818149879</v>
      </c>
      <c r="I19" s="14" t="s">
        <v>27</v>
      </c>
      <c r="J19" s="15">
        <v>339.1</v>
      </c>
      <c r="K19" s="15">
        <f t="shared" ref="K19:K21" si="20">J19/64.84</f>
        <v>5.2297964219617521</v>
      </c>
      <c r="L19" s="25">
        <f t="shared" ref="L19:L22" si="21">2*3.14158*J19*(12*1100*0.004*(0.05*2.5)^4*0.91/2440000000/0.004024^3)^0.5</f>
        <v>18.301290768946647</v>
      </c>
      <c r="M19" s="26">
        <f>AVERAGE(B19,F19,J19)</f>
        <v>313.56666666666666</v>
      </c>
      <c r="N19" s="27">
        <f t="shared" ref="N19:N22" si="22">AVERAGE(D19,H19,L19)</f>
        <v>17.840442815405396</v>
      </c>
      <c r="O19" s="85">
        <f t="shared" ref="O19:O22" si="23">STDEV(D19,H19,L19)</f>
        <v>0.83985407551677094</v>
      </c>
      <c r="P19" s="29">
        <f t="shared" ref="P19:P22" si="24">O19/N19*100</f>
        <v>4.7075853677328503</v>
      </c>
      <c r="Q19" s="80" t="s">
        <v>27</v>
      </c>
      <c r="R19" s="86">
        <v>1042</v>
      </c>
      <c r="S19" s="86">
        <v>1042</v>
      </c>
      <c r="T19" s="86">
        <v>1042</v>
      </c>
      <c r="U19" s="86">
        <f t="shared" si="15"/>
        <v>1042</v>
      </c>
      <c r="V19" s="86">
        <f t="shared" si="16"/>
        <v>0</v>
      </c>
      <c r="W19" s="87">
        <f t="shared" ref="W19:W22" si="25">R19/191.5</f>
        <v>5.4412532637075719</v>
      </c>
      <c r="X19" s="88">
        <f t="shared" ref="X19:X23" si="26">2*3.14158*U19*(12*2814*0.004*(0.05*2.5)^4*0.91/62000000000/0.004^3)^0.5</f>
        <v>18.004596536837628</v>
      </c>
      <c r="Y19" s="89">
        <f t="shared" ref="Y19:Y22" si="27">N19</f>
        <v>17.840442815405396</v>
      </c>
      <c r="Z19" s="90">
        <f>(N19-X19)/X19*100</f>
        <v>-0.91173229622986218</v>
      </c>
      <c r="AA19" s="88">
        <v>17.98</v>
      </c>
      <c r="AB19" s="88">
        <v>17.989999999999998</v>
      </c>
      <c r="AC19" s="91">
        <v>17.3</v>
      </c>
      <c r="AD19" s="14">
        <v>286.87</v>
      </c>
      <c r="AE19" s="23">
        <f t="shared" ref="AE19:AE22" si="28">2*3.14158*AD19*(12*1250*0.004*(0.05*2.5)^4*0.91/2100000000/0.004024^3)^0.5</f>
        <v>17.79028864304032</v>
      </c>
      <c r="AF19" s="35">
        <f t="shared" ref="AF19:AF22" si="29">100*(AE19-N19)/N19</f>
        <v>-0.28112627519406302</v>
      </c>
      <c r="AG19" s="14">
        <v>287.58</v>
      </c>
      <c r="AH19" s="23">
        <f t="shared" ref="AH19:AH22" si="30">2*3.14158*AG19*(12*1250*0.004*(0.05*2.5)^4*0.91/2100000000/0.004024^3)^0.5</f>
        <v>17.834319405882578</v>
      </c>
      <c r="AI19" s="35">
        <f t="shared" ref="AI19:AI22" si="31">100*(AH19-N19)/N19</f>
        <v>-3.4323192457590551E-2</v>
      </c>
      <c r="AJ19" s="14">
        <v>259.2</v>
      </c>
      <c r="AK19" s="23">
        <f t="shared" ref="AK19:AK22" si="32">2*3.14158*AJ19*(12*1250*0.004*(0.05*2.5)^4*0.91/2100000000/0.004024^3)^0.5</f>
        <v>16.074329195370904</v>
      </c>
      <c r="AL19" s="35">
        <f t="shared" ref="AL19:AL22" si="33">100*(AK19-N19)/N19</f>
        <v>-9.8994943024028288</v>
      </c>
      <c r="AM19" s="14">
        <v>259.2</v>
      </c>
      <c r="AN19" s="23">
        <f t="shared" ref="AN19:AN22" si="34">2*3.14158*AM19*(12*1250*0.004*(0.05*2.5)^4*0.91/2100000000/0.004024^3)^0.5</f>
        <v>16.074329195370904</v>
      </c>
      <c r="AO19" s="35">
        <f t="shared" ref="AO19:AO22" si="35">100*(AN19-N19)/N19</f>
        <v>-9.8994943024028288</v>
      </c>
      <c r="AP19" s="14">
        <v>250.09</v>
      </c>
      <c r="AQ19" s="32">
        <f>100*(AP19-M19)/M19</f>
        <v>-20.243435739343042</v>
      </c>
      <c r="AR19" s="15">
        <v>278.26</v>
      </c>
      <c r="AS19" s="32">
        <f>100*(AR19-M19)/M19</f>
        <v>-11.259700223238015</v>
      </c>
      <c r="AT19" s="15">
        <v>279.47000000000003</v>
      </c>
      <c r="AU19" s="23">
        <f t="shared" ref="AU19:AU22" si="36">2*3.14158*AT19*(12*1250*0.004*(0.05*2.5)^4*0.91/2100000000/0.004024^3)^0.5</f>
        <v>17.331376466937911</v>
      </c>
      <c r="AV19" s="33">
        <f t="shared" ref="AV19:AV22" si="37">100*(AU19-N19)/N19</f>
        <v>-2.8534400952643457</v>
      </c>
    </row>
    <row r="20" spans="1:56" x14ac:dyDescent="0.2">
      <c r="A20" s="14" t="s">
        <v>28</v>
      </c>
      <c r="B20" s="78">
        <v>387.5</v>
      </c>
      <c r="C20" s="78">
        <f t="shared" si="17"/>
        <v>6.2783538561244328</v>
      </c>
      <c r="D20" s="84">
        <f t="shared" si="18"/>
        <v>21.960138966774839</v>
      </c>
      <c r="E20" s="14" t="s">
        <v>28</v>
      </c>
      <c r="F20" s="15">
        <v>368.8</v>
      </c>
      <c r="G20" s="15">
        <f t="shared" si="19"/>
        <v>6.2945895203959719</v>
      </c>
      <c r="H20" s="24">
        <f t="shared" ref="H20:H22" si="38">2*3.14158*F20*(12*1180*0.003987*(0.12447)^4*0.91/2107000000/0.003987^3)^0.5</f>
        <v>22.267539427883108</v>
      </c>
      <c r="I20" s="14" t="s">
        <v>28</v>
      </c>
      <c r="J20" s="15">
        <v>410.2</v>
      </c>
      <c r="K20" s="15">
        <f t="shared" si="20"/>
        <v>6.326341764342998</v>
      </c>
      <c r="L20" s="25">
        <f t="shared" si="21"/>
        <v>22.138571139551498</v>
      </c>
      <c r="M20" s="26">
        <f>AVERAGE(B20,F20,J20)</f>
        <v>388.83333333333331</v>
      </c>
      <c r="N20" s="27">
        <f t="shared" si="22"/>
        <v>22.122083178069815</v>
      </c>
      <c r="O20" s="85">
        <f t="shared" si="23"/>
        <v>0.15436207606714883</v>
      </c>
      <c r="P20" s="29">
        <f t="shared" si="24"/>
        <v>0.69777368986738053</v>
      </c>
      <c r="Q20" s="80" t="s">
        <v>28</v>
      </c>
      <c r="R20" s="86">
        <v>1294</v>
      </c>
      <c r="S20" s="86">
        <v>1213</v>
      </c>
      <c r="T20" s="86">
        <v>1293</v>
      </c>
      <c r="U20" s="86">
        <f t="shared" si="15"/>
        <v>1266.6666666666667</v>
      </c>
      <c r="V20" s="86">
        <f t="shared" si="16"/>
        <v>46.479386111838153</v>
      </c>
      <c r="W20" s="87">
        <f t="shared" si="25"/>
        <v>6.757180156657963</v>
      </c>
      <c r="X20" s="88">
        <f t="shared" si="26"/>
        <v>21.886585681376516</v>
      </c>
      <c r="Y20" s="89">
        <f t="shared" si="27"/>
        <v>22.122083178069815</v>
      </c>
      <c r="Z20" s="90">
        <f>(N20-X20)/X20*100</f>
        <v>1.0759901070073501</v>
      </c>
      <c r="AA20" s="88">
        <v>21.47</v>
      </c>
      <c r="AB20" s="88">
        <v>21.56</v>
      </c>
      <c r="AC20" s="91">
        <v>21.6</v>
      </c>
      <c r="AD20" s="14">
        <v>349.92</v>
      </c>
      <c r="AE20" s="23">
        <f t="shared" si="28"/>
        <v>21.70034441375072</v>
      </c>
      <c r="AF20" s="33">
        <f t="shared" si="29"/>
        <v>-1.9064152364148734</v>
      </c>
      <c r="AG20" s="14">
        <v>350.27</v>
      </c>
      <c r="AH20" s="23">
        <f t="shared" si="30"/>
        <v>21.722049719377186</v>
      </c>
      <c r="AI20" s="33">
        <f t="shared" si="31"/>
        <v>-1.8082992251344243</v>
      </c>
      <c r="AJ20" s="14">
        <v>344.38</v>
      </c>
      <c r="AK20" s="23">
        <f t="shared" si="32"/>
        <v>21.356780433263239</v>
      </c>
      <c r="AL20" s="33">
        <f t="shared" si="33"/>
        <v>-3.4594515292539891</v>
      </c>
      <c r="AM20" s="14">
        <v>346.31</v>
      </c>
      <c r="AN20" s="23">
        <f t="shared" si="34"/>
        <v>21.476469690003466</v>
      </c>
      <c r="AO20" s="33">
        <f t="shared" si="35"/>
        <v>-2.9184118099074965</v>
      </c>
      <c r="AP20" s="14">
        <v>304.02999999999997</v>
      </c>
      <c r="AQ20" s="32">
        <f>100*(AP20-M20)/M20</f>
        <v>-21.809687098156882</v>
      </c>
      <c r="AR20" s="15">
        <v>339.28</v>
      </c>
      <c r="AS20" s="32">
        <f>100*(AR20-M20)/M20</f>
        <v>-12.74410630090013</v>
      </c>
      <c r="AT20" s="15">
        <v>340.96</v>
      </c>
      <c r="AU20" s="23">
        <f t="shared" si="36"/>
        <v>21.144688589713205</v>
      </c>
      <c r="AV20" s="33">
        <f t="shared" si="37"/>
        <v>-4.4181851251943858</v>
      </c>
    </row>
    <row r="21" spans="1:56" x14ac:dyDescent="0.2">
      <c r="A21" s="14" t="s">
        <v>29</v>
      </c>
      <c r="B21" s="92">
        <v>957</v>
      </c>
      <c r="C21" s="78">
        <f t="shared" si="17"/>
        <v>15.50550874918989</v>
      </c>
      <c r="D21" s="84">
        <f t="shared" si="18"/>
        <v>54.23445933213813</v>
      </c>
      <c r="E21" s="14" t="s">
        <v>29</v>
      </c>
      <c r="F21" s="15">
        <v>969.5</v>
      </c>
      <c r="G21" s="15">
        <f t="shared" si="19"/>
        <v>16.547192353643965</v>
      </c>
      <c r="H21" s="24">
        <f t="shared" si="38"/>
        <v>58.536820703179693</v>
      </c>
      <c r="I21" s="14" t="s">
        <v>29</v>
      </c>
      <c r="J21" s="15">
        <v>1088</v>
      </c>
      <c r="K21" s="15">
        <f t="shared" si="20"/>
        <v>16.77976557680444</v>
      </c>
      <c r="L21" s="25">
        <f t="shared" si="21"/>
        <v>58.719564602223379</v>
      </c>
      <c r="M21" s="26">
        <f>AVERAGE(B21,F21,J21)</f>
        <v>1004.8333333333334</v>
      </c>
      <c r="N21" s="27">
        <f t="shared" si="22"/>
        <v>57.163614879180408</v>
      </c>
      <c r="O21" s="85">
        <f t="shared" si="23"/>
        <v>2.5383681760603207</v>
      </c>
      <c r="P21" s="29">
        <f t="shared" si="24"/>
        <v>4.4405312390151535</v>
      </c>
      <c r="Q21" s="80" t="s">
        <v>29</v>
      </c>
      <c r="R21" s="86">
        <v>3308</v>
      </c>
      <c r="S21" s="86">
        <v>3300</v>
      </c>
      <c r="T21" s="86">
        <v>3300</v>
      </c>
      <c r="U21" s="86">
        <f>AVERAGE(R21:T21)</f>
        <v>3302.6666666666665</v>
      </c>
      <c r="V21" s="86">
        <f t="shared" si="16"/>
        <v>4.6188021535170067</v>
      </c>
      <c r="W21" s="87">
        <f t="shared" si="25"/>
        <v>17.274151436031332</v>
      </c>
      <c r="X21" s="88">
        <f t="shared" si="26"/>
        <v>57.066392350283813</v>
      </c>
      <c r="Y21" s="89">
        <f t="shared" si="27"/>
        <v>57.163614879180408</v>
      </c>
      <c r="Z21" s="90">
        <f>(N21-X21)/X21*100</f>
        <v>0.1703673999572726</v>
      </c>
      <c r="AA21" s="88">
        <v>58.48</v>
      </c>
      <c r="AB21" s="88">
        <v>57.46</v>
      </c>
      <c r="AC21" s="91">
        <v>54.8</v>
      </c>
      <c r="AD21" s="14">
        <v>910.74</v>
      </c>
      <c r="AE21" s="23">
        <f t="shared" si="28"/>
        <v>56.479685846420125</v>
      </c>
      <c r="AF21" s="35">
        <f t="shared" si="29"/>
        <v>-1.196441187643255</v>
      </c>
      <c r="AG21" s="14">
        <v>913.55</v>
      </c>
      <c r="AH21" s="23">
        <f t="shared" si="30"/>
        <v>56.653948443021171</v>
      </c>
      <c r="AI21" s="35">
        <f t="shared" si="31"/>
        <v>-0.8915923830857343</v>
      </c>
      <c r="AJ21" s="14">
        <v>777.59</v>
      </c>
      <c r="AK21" s="23">
        <f t="shared" si="32"/>
        <v>48.222367434523385</v>
      </c>
      <c r="AL21" s="35">
        <f t="shared" si="33"/>
        <v>-15.641501090431424</v>
      </c>
      <c r="AM21" s="14">
        <v>777.6</v>
      </c>
      <c r="AN21" s="23">
        <f t="shared" si="34"/>
        <v>48.222987586112716</v>
      </c>
      <c r="AO21" s="35">
        <f t="shared" si="35"/>
        <v>-15.640416219240821</v>
      </c>
      <c r="AP21" s="14">
        <v>794.27</v>
      </c>
      <c r="AQ21" s="32">
        <f>100*(AP21-M21)/M21</f>
        <v>-20.955050588820704</v>
      </c>
      <c r="AR21" s="15">
        <v>883.59</v>
      </c>
      <c r="AS21" s="32">
        <f>100*(AR21-M21)/M21</f>
        <v>-12.066014264388787</v>
      </c>
      <c r="AT21" s="15">
        <v>887.38</v>
      </c>
      <c r="AU21" s="23">
        <f t="shared" si="36"/>
        <v>55.031011733750894</v>
      </c>
      <c r="AV21" s="33">
        <f t="shared" si="37"/>
        <v>-3.7307002888759402</v>
      </c>
    </row>
    <row r="22" spans="1:56" x14ac:dyDescent="0.2">
      <c r="A22" s="14" t="s">
        <v>30</v>
      </c>
      <c r="B22" s="78">
        <v>1089</v>
      </c>
      <c r="C22" s="78">
        <f t="shared" si="17"/>
        <v>17.644199611147116</v>
      </c>
      <c r="D22" s="84">
        <f t="shared" si="18"/>
        <v>61.715074412433033</v>
      </c>
      <c r="E22" s="14" t="s">
        <v>30</v>
      </c>
      <c r="F22" s="15">
        <v>1035</v>
      </c>
      <c r="G22" s="15">
        <f t="shared" si="19"/>
        <v>17.665130568356375</v>
      </c>
      <c r="H22" s="24">
        <f t="shared" si="38"/>
        <v>62.491603329335724</v>
      </c>
      <c r="I22" s="14" t="s">
        <v>30</v>
      </c>
      <c r="J22" s="15">
        <v>1155</v>
      </c>
      <c r="K22" s="15">
        <f>J22/64.84</f>
        <v>17.813078346699566</v>
      </c>
      <c r="L22" s="25">
        <f t="shared" si="21"/>
        <v>62.335567201808836</v>
      </c>
      <c r="M22" s="26">
        <f>AVERAGE(B22,F22,J22)</f>
        <v>1093</v>
      </c>
      <c r="N22" s="27">
        <f t="shared" si="22"/>
        <v>62.180748314525864</v>
      </c>
      <c r="O22" s="85">
        <f t="shared" si="23"/>
        <v>0.41076265116386829</v>
      </c>
      <c r="P22" s="29">
        <f t="shared" si="24"/>
        <v>0.66059457677499711</v>
      </c>
      <c r="Q22" s="80" t="s">
        <v>30</v>
      </c>
      <c r="R22" s="86">
        <v>3543</v>
      </c>
      <c r="S22" s="86">
        <v>3577</v>
      </c>
      <c r="T22" s="86">
        <v>3537</v>
      </c>
      <c r="U22" s="86">
        <f t="shared" ref="U22:U24" si="39">AVERAGE(R22:T22)</f>
        <v>3552.3333333333335</v>
      </c>
      <c r="V22" s="86">
        <f>STDEV(R22:T22)</f>
        <v>21.571586249817916</v>
      </c>
      <c r="W22" s="87">
        <f t="shared" si="25"/>
        <v>18.50130548302872</v>
      </c>
      <c r="X22" s="88">
        <f t="shared" si="26"/>
        <v>61.380353580639351</v>
      </c>
      <c r="Y22" s="89">
        <f t="shared" si="27"/>
        <v>62.180748314525864</v>
      </c>
      <c r="Z22" s="90">
        <f>(N22-X22)/X22*100</f>
        <v>1.3039917289413829</v>
      </c>
      <c r="AA22" s="88" t="s">
        <v>60</v>
      </c>
      <c r="AB22" s="88" t="s">
        <v>60</v>
      </c>
      <c r="AC22" s="91">
        <v>60.4</v>
      </c>
      <c r="AD22" s="14">
        <v>974.89</v>
      </c>
      <c r="AE22" s="23">
        <f t="shared" si="28"/>
        <v>60.457958291956558</v>
      </c>
      <c r="AF22" s="33">
        <f t="shared" si="29"/>
        <v>-2.7706164194985257</v>
      </c>
      <c r="AG22" s="14">
        <v>977.25</v>
      </c>
      <c r="AH22" s="23">
        <f t="shared" si="30"/>
        <v>60.604314067037869</v>
      </c>
      <c r="AI22" s="33">
        <f t="shared" si="31"/>
        <v>-2.535244895275294</v>
      </c>
      <c r="AJ22" s="14">
        <v>956.99</v>
      </c>
      <c r="AK22" s="23">
        <f t="shared" si="32"/>
        <v>59.347886947060189</v>
      </c>
      <c r="AL22" s="33">
        <f t="shared" si="33"/>
        <v>-4.5558495905136907</v>
      </c>
      <c r="AM22" s="14">
        <v>969.68</v>
      </c>
      <c r="AN22" s="23">
        <f t="shared" si="34"/>
        <v>60.134859313916884</v>
      </c>
      <c r="AO22" s="33">
        <f t="shared" si="35"/>
        <v>-3.2902289793303212</v>
      </c>
      <c r="AP22" s="14">
        <v>848.31</v>
      </c>
      <c r="AQ22" s="32">
        <f>100*(AP22-M22)/M22</f>
        <v>-22.387008234217756</v>
      </c>
      <c r="AR22" s="15">
        <v>945.75</v>
      </c>
      <c r="AS22" s="32">
        <f>100*(AR22-M22)/M22</f>
        <v>-13.472095150960659</v>
      </c>
      <c r="AT22" s="15">
        <v>950.17</v>
      </c>
      <c r="AU22" s="23">
        <f t="shared" si="36"/>
        <v>58.924943563138775</v>
      </c>
      <c r="AV22" s="33">
        <f t="shared" si="37"/>
        <v>-5.2360334020401451</v>
      </c>
    </row>
    <row r="23" spans="1:56" s="111" customFormat="1" ht="15.75" thickBot="1" x14ac:dyDescent="0.25">
      <c r="A23" s="93" t="s">
        <v>61</v>
      </c>
      <c r="B23" s="94"/>
      <c r="C23" s="95"/>
      <c r="D23" s="96"/>
      <c r="E23" s="93" t="s">
        <v>61</v>
      </c>
      <c r="F23" s="94"/>
      <c r="G23" s="95"/>
      <c r="H23" s="96"/>
      <c r="I23" s="93" t="s">
        <v>61</v>
      </c>
      <c r="J23" s="94"/>
      <c r="K23" s="95"/>
      <c r="L23" s="97"/>
      <c r="M23" s="98"/>
      <c r="N23" s="99"/>
      <c r="O23" s="99"/>
      <c r="P23" s="100"/>
      <c r="Q23" s="101" t="s">
        <v>61</v>
      </c>
      <c r="R23" s="102">
        <v>6050</v>
      </c>
      <c r="S23" s="102">
        <v>6038</v>
      </c>
      <c r="T23" s="102">
        <v>6038</v>
      </c>
      <c r="U23" s="103">
        <f t="shared" si="39"/>
        <v>6042</v>
      </c>
      <c r="V23" s="102">
        <f>STDEV(R23:T23)</f>
        <v>6.9282032302755088</v>
      </c>
      <c r="W23" s="104">
        <f t="shared" ref="W23:W24" si="40">R23/191</f>
        <v>31.67539267015707</v>
      </c>
      <c r="X23" s="105">
        <f t="shared" si="26"/>
        <v>104.39901370016597</v>
      </c>
      <c r="Y23" s="42"/>
      <c r="Z23" s="49"/>
      <c r="AA23" s="106"/>
      <c r="AB23" s="106"/>
      <c r="AC23" s="106"/>
      <c r="AD23" s="93">
        <v>1675.4</v>
      </c>
      <c r="AE23" s="107">
        <f>2*3.14158*AD23*(12*1250*0.004*(0.05*2.5)^4*0.91/2100000000/0.004024^3)^0.5</f>
        <v>103.90019727594296</v>
      </c>
      <c r="AF23" s="108">
        <f>100*(AE23-X23)/X23</f>
        <v>-0.47779802370126745</v>
      </c>
      <c r="AG23" s="93">
        <v>1682.8</v>
      </c>
      <c r="AH23" s="107">
        <f>2*3.14158*AG23*(12*1250*0.004*(0.05*2.5)^4*0.91/2100000000/0.004024^3)^0.5</f>
        <v>104.35910945204535</v>
      </c>
      <c r="AI23" s="108">
        <f>100*(AH23-X23)/X23</f>
        <v>-3.8222820988736451E-2</v>
      </c>
      <c r="AJ23" s="93">
        <v>1296</v>
      </c>
      <c r="AK23" s="107">
        <f>2*3.14158*AJ23*(12*1250*0.004*(0.05*2.5)^4*0.91/2100000000/0.004024^3)^0.5</f>
        <v>80.371645976854509</v>
      </c>
      <c r="AL23" s="109">
        <f>100*(AK23-X23)/X23</f>
        <v>-23.0149374708827</v>
      </c>
      <c r="AM23" s="93">
        <v>1296</v>
      </c>
      <c r="AN23" s="107">
        <f>2*3.14158*AM23*(12*1250*0.004*(0.05*2.5)^4*0.91/2100000000/0.004024^3)^0.5</f>
        <v>80.371645976854509</v>
      </c>
      <c r="AO23" s="109">
        <f>100*(AN23-X23)/X23</f>
        <v>-23.0149374708827</v>
      </c>
      <c r="AP23" s="93">
        <v>1461.9</v>
      </c>
      <c r="AQ23" s="110"/>
      <c r="AR23" s="94">
        <v>1626</v>
      </c>
      <c r="AS23" s="110"/>
      <c r="AT23" s="94">
        <v>1632.9</v>
      </c>
      <c r="AU23" s="107">
        <f>2*3.14158*AT23*(12*1250*0.004*(0.05*2.5)^4*0.91/2100000000/0.004024^3)^0.5</f>
        <v>101.26455302130073</v>
      </c>
      <c r="AV23" s="108">
        <f>100*(AU23-X23)/X23</f>
        <v>-3.0023853365774236</v>
      </c>
    </row>
    <row r="24" spans="1:56" s="111" customFormat="1" ht="15.75" thickBot="1" x14ac:dyDescent="0.25">
      <c r="A24" s="112"/>
      <c r="B24" s="113"/>
      <c r="C24" s="113"/>
      <c r="D24" s="114"/>
      <c r="E24" s="112"/>
      <c r="F24" s="113"/>
      <c r="G24" s="113"/>
      <c r="H24" s="114"/>
      <c r="I24" s="112"/>
      <c r="J24" s="113"/>
      <c r="K24" s="113"/>
      <c r="L24" s="113"/>
      <c r="M24" s="115"/>
      <c r="N24" s="116"/>
      <c r="O24" s="116"/>
      <c r="P24" s="117"/>
      <c r="Q24" s="118" t="s">
        <v>62</v>
      </c>
      <c r="R24" s="119">
        <v>6558</v>
      </c>
      <c r="S24" s="119">
        <v>6527</v>
      </c>
      <c r="T24" s="119">
        <v>6535</v>
      </c>
      <c r="U24" s="120">
        <f t="shared" si="39"/>
        <v>6540</v>
      </c>
      <c r="V24" s="119">
        <f>STDEV(R24:T24)</f>
        <v>16.093476939431081</v>
      </c>
      <c r="W24" s="121">
        <f t="shared" si="40"/>
        <v>34.33507853403141</v>
      </c>
      <c r="X24" s="122">
        <f>2*3.14158*U24*(12*2714*0.004*(0.05*2.5)^4*0.91/62000000000/0.004^3)^0.5</f>
        <v>110.97784779178909</v>
      </c>
      <c r="Y24" s="56"/>
      <c r="Z24" s="56"/>
      <c r="AA24" s="2"/>
      <c r="AB24" s="56"/>
      <c r="AC24" s="57"/>
      <c r="AD24" s="123">
        <v>1888</v>
      </c>
      <c r="AE24" s="48">
        <f>2*3.14158*AD24*(12*1250*0.004*(0.05*2.5)^4*0.91/2100000000/0.004024^3)^0.5</f>
        <v>117.08462006504732</v>
      </c>
      <c r="AF24" s="124">
        <f>100*(AE24-X24)/X24</f>
        <v>5.5026948123155544</v>
      </c>
      <c r="AG24" s="123">
        <v>1879.8</v>
      </c>
      <c r="AH24" s="48">
        <f>2*3.14158*AG24*(12*1250*0.004*(0.05*2.5)^4*0.91/2100000000/0.004024^3)^0.5</f>
        <v>116.57609576179871</v>
      </c>
      <c r="AI24" s="51">
        <f>100*(AH24-X24)/X24</f>
        <v>5.0444733623891924</v>
      </c>
      <c r="AJ24" s="123">
        <v>1830.1</v>
      </c>
      <c r="AK24" s="48">
        <f>2*3.14158*AJ24*(12*1250*0.004*(0.05*2.5)^4*0.91/2100000000/0.004024^3)^0.5</f>
        <v>113.49394236284063</v>
      </c>
      <c r="AL24" s="124">
        <f>100*(AK24-X24)/X24</f>
        <v>2.2672043305183807</v>
      </c>
      <c r="AM24" s="123">
        <v>1784.9</v>
      </c>
      <c r="AN24" s="48">
        <f>2*3.14158*AM24*(12*1250*0.004*(0.05*2.5)^4*0.91/2100000000/0.004024^3)^0.5</f>
        <v>110.69085717907996</v>
      </c>
      <c r="AO24" s="124">
        <f>100*(AN24-X24)/X24</f>
        <v>-0.25860171053917858</v>
      </c>
      <c r="AP24" s="45">
        <v>1646</v>
      </c>
      <c r="AQ24" s="47"/>
      <c r="AR24" s="48">
        <v>1832.9</v>
      </c>
      <c r="AS24" s="49"/>
      <c r="AT24" s="47">
        <v>1840.9</v>
      </c>
      <c r="AU24" s="48">
        <f>2*3.14158*AT24*(12*1250*0.004*(0.05*2.5)^4*0.91/2100000000/0.004024^3)^0.5</f>
        <v>114.16370607931442</v>
      </c>
      <c r="AV24" s="51">
        <f>100*(AU24-X24)/X24</f>
        <v>2.8707155084701927</v>
      </c>
    </row>
    <row r="25" spans="1:56" s="111" customFormat="1" x14ac:dyDescent="0.2">
      <c r="A25" s="52" t="s">
        <v>33</v>
      </c>
      <c r="B25" s="53" t="s">
        <v>34</v>
      </c>
      <c r="C25" s="54" t="s">
        <v>35</v>
      </c>
      <c r="D25" s="55" t="s">
        <v>36</v>
      </c>
      <c r="E25" s="52" t="s">
        <v>33</v>
      </c>
      <c r="F25" s="53" t="s">
        <v>34</v>
      </c>
      <c r="G25" s="54" t="s">
        <v>35</v>
      </c>
      <c r="H25" s="55" t="s">
        <v>36</v>
      </c>
      <c r="I25" s="52" t="s">
        <v>33</v>
      </c>
      <c r="J25" s="53" t="s">
        <v>34</v>
      </c>
      <c r="K25" s="54" t="s">
        <v>35</v>
      </c>
      <c r="L25" s="55" t="s">
        <v>36</v>
      </c>
      <c r="M25" s="56"/>
      <c r="N25" s="56"/>
      <c r="O25" s="56"/>
      <c r="P25" s="56"/>
      <c r="Q25" s="76" t="s">
        <v>63</v>
      </c>
      <c r="R25" s="125" t="s">
        <v>64</v>
      </c>
      <c r="S25" s="126"/>
      <c r="T25" s="127" t="s">
        <v>35</v>
      </c>
      <c r="U25" s="127"/>
      <c r="V25" s="127" t="s">
        <v>36</v>
      </c>
      <c r="W25" s="127"/>
      <c r="X25" s="128"/>
      <c r="Y25" s="2"/>
      <c r="Z25" s="56"/>
      <c r="AA25" s="57"/>
      <c r="AB25" s="57"/>
      <c r="AC25" s="2"/>
      <c r="AD25" s="56"/>
      <c r="AE25" s="57"/>
      <c r="AF25" s="2"/>
      <c r="AG25" s="56"/>
      <c r="AH25" s="57"/>
      <c r="AI25" s="2"/>
      <c r="AJ25" s="56"/>
      <c r="AK25" s="57"/>
      <c r="AL25" s="2"/>
      <c r="AM25" s="57"/>
      <c r="AN25" s="2"/>
      <c r="AO25" s="57"/>
      <c r="AP25" s="2"/>
      <c r="AQ25" s="56"/>
      <c r="AR25" s="57"/>
    </row>
    <row r="26" spans="1:56" s="111" customFormat="1" ht="31.9" customHeight="1" x14ac:dyDescent="0.2">
      <c r="A26" s="14" t="s">
        <v>37</v>
      </c>
      <c r="B26" s="15">
        <v>1250</v>
      </c>
      <c r="C26" s="58">
        <v>0</v>
      </c>
      <c r="D26" s="129">
        <v>0.3906</v>
      </c>
      <c r="E26" s="14" t="s">
        <v>65</v>
      </c>
      <c r="F26" s="15">
        <v>1250</v>
      </c>
      <c r="G26" s="58">
        <v>0</v>
      </c>
      <c r="H26" s="129">
        <v>0.3906</v>
      </c>
      <c r="I26" s="14" t="s">
        <v>65</v>
      </c>
      <c r="J26" s="15">
        <v>1250</v>
      </c>
      <c r="K26" s="58">
        <v>0</v>
      </c>
      <c r="L26" s="59">
        <v>0.3906</v>
      </c>
      <c r="M26" s="56"/>
      <c r="N26" s="56"/>
      <c r="O26" s="56"/>
      <c r="P26" s="56"/>
      <c r="Q26" s="83" t="s">
        <v>65</v>
      </c>
      <c r="R26" s="130">
        <v>0</v>
      </c>
      <c r="S26" s="131"/>
      <c r="T26" s="132">
        <v>8000</v>
      </c>
      <c r="U26" s="133"/>
      <c r="V26" s="134" t="s">
        <v>66</v>
      </c>
      <c r="W26" s="135"/>
      <c r="X26" s="136"/>
      <c r="Y26" s="2"/>
      <c r="Z26" s="56"/>
      <c r="AA26" s="57"/>
      <c r="AB26" s="57"/>
      <c r="AC26" s="2"/>
      <c r="AD26" s="56"/>
      <c r="AE26" s="57"/>
      <c r="AF26" s="2"/>
      <c r="AG26" s="56"/>
      <c r="AH26" s="57"/>
      <c r="AI26" s="2"/>
      <c r="AJ26" s="56"/>
      <c r="AK26" s="57"/>
      <c r="AL26" s="2"/>
      <c r="AM26" s="57"/>
      <c r="AN26" s="2"/>
      <c r="AO26" s="57"/>
      <c r="AP26" s="2"/>
      <c r="AQ26" s="56"/>
      <c r="AR26" s="57"/>
    </row>
    <row r="27" spans="1:56" s="111" customFormat="1" x14ac:dyDescent="0.2">
      <c r="A27" s="14"/>
      <c r="B27" s="60" t="s">
        <v>38</v>
      </c>
      <c r="C27" s="58" t="s">
        <v>39</v>
      </c>
      <c r="D27" s="59" t="s">
        <v>40</v>
      </c>
      <c r="E27" s="14"/>
      <c r="F27" s="60" t="s">
        <v>38</v>
      </c>
      <c r="G27" s="58" t="s">
        <v>39</v>
      </c>
      <c r="H27" s="59" t="s">
        <v>40</v>
      </c>
      <c r="I27" s="14"/>
      <c r="J27" s="60" t="s">
        <v>38</v>
      </c>
      <c r="K27" s="58" t="s">
        <v>39</v>
      </c>
      <c r="L27" s="59" t="s">
        <v>40</v>
      </c>
      <c r="M27" s="56"/>
      <c r="N27" s="56"/>
      <c r="O27" s="56"/>
      <c r="P27" s="56"/>
      <c r="Q27" s="83"/>
      <c r="R27" s="137" t="s">
        <v>38</v>
      </c>
      <c r="S27" s="138"/>
      <c r="T27" s="139" t="s">
        <v>39</v>
      </c>
      <c r="U27" s="139"/>
      <c r="V27" s="139" t="s">
        <v>67</v>
      </c>
      <c r="W27" s="139"/>
      <c r="X27" s="140"/>
      <c r="Y27" s="2"/>
      <c r="Z27" s="56"/>
      <c r="AA27" s="57"/>
      <c r="AB27" s="57"/>
      <c r="AC27" s="2"/>
      <c r="AD27" s="56"/>
      <c r="AE27" s="57"/>
      <c r="AF27" s="2"/>
      <c r="AG27" s="56"/>
      <c r="AH27" s="57"/>
      <c r="AI27" s="2"/>
      <c r="AJ27" s="56"/>
      <c r="AK27" s="57"/>
      <c r="AL27" s="2"/>
      <c r="AM27" s="57"/>
      <c r="AN27" s="2"/>
      <c r="AO27" s="57"/>
      <c r="AP27" s="2"/>
      <c r="AQ27" s="56"/>
      <c r="AR27" s="57"/>
    </row>
    <row r="28" spans="1:56" s="111" customFormat="1" ht="15.75" thickBot="1" x14ac:dyDescent="0.25">
      <c r="A28" s="61" t="s">
        <v>41</v>
      </c>
      <c r="B28" s="62">
        <v>9</v>
      </c>
      <c r="C28" s="63">
        <v>3</v>
      </c>
      <c r="D28" s="141" t="s">
        <v>68</v>
      </c>
      <c r="E28" s="61" t="s">
        <v>69</v>
      </c>
      <c r="F28" s="62">
        <v>9</v>
      </c>
      <c r="G28" s="63">
        <v>3</v>
      </c>
      <c r="H28" s="141" t="s">
        <v>68</v>
      </c>
      <c r="I28" s="61" t="s">
        <v>69</v>
      </c>
      <c r="J28" s="62">
        <v>9</v>
      </c>
      <c r="K28" s="63">
        <v>3</v>
      </c>
      <c r="L28" s="64" t="s">
        <v>68</v>
      </c>
      <c r="M28" s="56"/>
      <c r="N28" s="56"/>
      <c r="O28" s="56"/>
      <c r="P28" s="56"/>
      <c r="Q28" s="142" t="s">
        <v>69</v>
      </c>
      <c r="R28" s="143">
        <v>11</v>
      </c>
      <c r="S28" s="144"/>
      <c r="T28" s="145">
        <v>3</v>
      </c>
      <c r="U28" s="146"/>
      <c r="V28" s="145" t="s">
        <v>43</v>
      </c>
      <c r="W28" s="147"/>
      <c r="X28" s="148"/>
      <c r="Y28" s="2"/>
      <c r="Z28" s="56"/>
      <c r="AA28" s="57"/>
      <c r="AB28" s="57"/>
      <c r="AC28" s="2"/>
      <c r="AD28" s="56"/>
      <c r="AE28" s="57"/>
      <c r="AF28" s="2"/>
      <c r="AG28" s="56"/>
      <c r="AH28" s="57"/>
      <c r="AI28" s="2"/>
      <c r="AJ28" s="56"/>
      <c r="AK28" s="57"/>
      <c r="AL28" s="2"/>
      <c r="AM28" s="57"/>
      <c r="AN28" s="2"/>
      <c r="AO28" s="57"/>
      <c r="AP28" s="2"/>
      <c r="AQ28" s="56"/>
      <c r="AR28" s="57"/>
    </row>
    <row r="29" spans="1:56" s="111" customFormat="1" x14ac:dyDescent="0.2">
      <c r="A29" s="2"/>
      <c r="B29" s="2"/>
      <c r="C29" s="56"/>
      <c r="D29" s="56"/>
      <c r="E29" s="2"/>
      <c r="F29" s="2"/>
      <c r="G29" s="56"/>
      <c r="H29" s="56"/>
      <c r="I29" s="2"/>
      <c r="J29" s="2"/>
      <c r="K29" s="56"/>
      <c r="L29" s="56"/>
      <c r="M29" s="2"/>
      <c r="N29" s="2"/>
      <c r="O29" s="2"/>
      <c r="P29" s="56"/>
      <c r="Q29" s="56"/>
      <c r="R29" s="56"/>
      <c r="S29" s="56"/>
      <c r="T29" s="56"/>
      <c r="U29" s="2"/>
      <c r="V29" s="56"/>
      <c r="W29" s="57"/>
      <c r="X29" s="2"/>
      <c r="Y29" s="56"/>
      <c r="Z29" s="57"/>
      <c r="AA29" s="57"/>
      <c r="AB29" s="2"/>
      <c r="AC29" s="56"/>
      <c r="AD29" s="57"/>
      <c r="AE29" s="2"/>
      <c r="AF29" s="56"/>
      <c r="AG29" s="57"/>
      <c r="AH29" s="2"/>
      <c r="AI29" s="57"/>
      <c r="AJ29" s="57"/>
      <c r="AK29" s="57"/>
      <c r="AL29" s="2"/>
      <c r="AM29" s="56"/>
      <c r="AN29" s="57"/>
    </row>
    <row r="30" spans="1:56" s="111" customFormat="1" ht="15.75" thickBot="1" x14ac:dyDescent="0.25">
      <c r="A30" s="2"/>
      <c r="B30" s="2"/>
      <c r="C30" s="56"/>
      <c r="D30" s="56"/>
      <c r="E30" s="2"/>
      <c r="F30" s="2"/>
      <c r="G30" s="56"/>
      <c r="H30" s="56"/>
      <c r="I30" s="2"/>
      <c r="J30" s="2"/>
      <c r="K30" s="56"/>
      <c r="L30" s="56"/>
      <c r="M30" s="2"/>
      <c r="N30" s="2"/>
      <c r="O30" s="2"/>
      <c r="P30" s="56"/>
      <c r="Q30" s="56"/>
      <c r="R30" s="56"/>
      <c r="S30" s="56"/>
      <c r="T30" s="56"/>
      <c r="U30" s="2"/>
      <c r="V30" s="56"/>
      <c r="W30" s="57"/>
      <c r="X30" s="2"/>
      <c r="Y30" s="56"/>
      <c r="Z30" s="57"/>
      <c r="AA30" s="57"/>
      <c r="AB30" s="2"/>
      <c r="AC30" s="56"/>
      <c r="AD30" s="57"/>
      <c r="AE30" s="2"/>
      <c r="AF30" s="56"/>
      <c r="AG30" s="57"/>
      <c r="AH30" s="2"/>
      <c r="AI30" s="57"/>
      <c r="AJ30" s="57"/>
      <c r="AK30" s="57"/>
      <c r="AL30" s="2"/>
      <c r="AM30" s="56"/>
      <c r="AN30" s="57"/>
    </row>
    <row r="31" spans="1:56" ht="18.75" x14ac:dyDescent="0.2">
      <c r="A31" s="4" t="s">
        <v>70</v>
      </c>
      <c r="B31" s="5" t="s">
        <v>71</v>
      </c>
      <c r="C31" s="6"/>
      <c r="D31" s="6"/>
      <c r="E31" s="4" t="s">
        <v>72</v>
      </c>
      <c r="F31" s="5" t="s">
        <v>71</v>
      </c>
      <c r="G31" s="68"/>
      <c r="H31" s="67"/>
      <c r="I31" s="5" t="s">
        <v>73</v>
      </c>
      <c r="J31" s="5" t="s">
        <v>71</v>
      </c>
      <c r="K31" s="68"/>
      <c r="L31" s="67"/>
      <c r="M31" s="8" t="s">
        <v>6</v>
      </c>
      <c r="N31" s="9"/>
      <c r="O31" s="10"/>
      <c r="P31" s="11"/>
      <c r="Q31" s="72" t="s">
        <v>74</v>
      </c>
      <c r="R31" s="73" t="s">
        <v>75</v>
      </c>
      <c r="S31" s="149" t="s">
        <v>49</v>
      </c>
      <c r="T31" s="149"/>
      <c r="U31" s="149"/>
      <c r="V31" s="149"/>
      <c r="W31" s="150"/>
      <c r="X31" s="151"/>
      <c r="Y31" s="76"/>
      <c r="Z31" s="74"/>
      <c r="AA31" s="75"/>
      <c r="AB31" s="152"/>
      <c r="AC31" s="4" t="s">
        <v>7</v>
      </c>
      <c r="AD31" s="6"/>
      <c r="AE31" s="153"/>
      <c r="AF31" s="4"/>
      <c r="AG31" s="5"/>
      <c r="AH31" s="153"/>
      <c r="AI31" s="154" t="s">
        <v>76</v>
      </c>
      <c r="AJ31" s="155"/>
      <c r="AK31" s="156"/>
      <c r="AL31" s="154" t="s">
        <v>77</v>
      </c>
      <c r="AM31" s="157"/>
      <c r="AN31" s="156"/>
      <c r="AO31" s="154" t="s">
        <v>78</v>
      </c>
      <c r="AP31" s="157"/>
      <c r="AQ31" s="156"/>
      <c r="AR31" s="4"/>
      <c r="AS31" s="6"/>
      <c r="AT31" s="153"/>
      <c r="AU31" s="4"/>
      <c r="AV31" s="6"/>
      <c r="AW31" s="153"/>
      <c r="AX31" s="4"/>
      <c r="AY31" s="5"/>
      <c r="AZ31" s="5"/>
      <c r="BA31" s="5"/>
      <c r="BB31" s="5"/>
      <c r="BC31" s="6"/>
      <c r="BD31" s="153"/>
    </row>
    <row r="32" spans="1:56" ht="30" x14ac:dyDescent="0.2">
      <c r="A32" s="14" t="s">
        <v>8</v>
      </c>
      <c r="B32" s="15" t="s">
        <v>9</v>
      </c>
      <c r="C32" s="15" t="s">
        <v>10</v>
      </c>
      <c r="D32" s="17" t="s">
        <v>11</v>
      </c>
      <c r="E32" s="14" t="s">
        <v>8</v>
      </c>
      <c r="F32" s="15" t="s">
        <v>9</v>
      </c>
      <c r="G32" s="15" t="s">
        <v>10</v>
      </c>
      <c r="H32" s="16" t="s">
        <v>11</v>
      </c>
      <c r="I32" s="158" t="s">
        <v>8</v>
      </c>
      <c r="J32" s="15" t="s">
        <v>9</v>
      </c>
      <c r="K32" s="15" t="s">
        <v>10</v>
      </c>
      <c r="L32" s="16" t="s">
        <v>11</v>
      </c>
      <c r="M32" s="14" t="s">
        <v>12</v>
      </c>
      <c r="N32" s="15" t="s">
        <v>13</v>
      </c>
      <c r="O32" s="18" t="s">
        <v>14</v>
      </c>
      <c r="P32" s="16" t="s">
        <v>15</v>
      </c>
      <c r="Q32" s="80" t="s">
        <v>8</v>
      </c>
      <c r="R32" s="81" t="s">
        <v>50</v>
      </c>
      <c r="S32" s="81" t="s">
        <v>51</v>
      </c>
      <c r="T32" s="81" t="s">
        <v>52</v>
      </c>
      <c r="U32" s="81" t="s">
        <v>53</v>
      </c>
      <c r="V32" s="81" t="s">
        <v>54</v>
      </c>
      <c r="W32" s="81" t="s">
        <v>10</v>
      </c>
      <c r="X32" s="159" t="s">
        <v>11</v>
      </c>
      <c r="Y32" s="83" t="s">
        <v>55</v>
      </c>
      <c r="Z32" s="81" t="s">
        <v>56</v>
      </c>
      <c r="AA32" s="19" t="s">
        <v>79</v>
      </c>
      <c r="AB32" s="20" t="s">
        <v>59</v>
      </c>
      <c r="AC32" s="14" t="s">
        <v>18</v>
      </c>
      <c r="AD32" s="17" t="s">
        <v>11</v>
      </c>
      <c r="AE32" s="22" t="s">
        <v>19</v>
      </c>
      <c r="AF32" s="14" t="s">
        <v>20</v>
      </c>
      <c r="AG32" s="15" t="s">
        <v>80</v>
      </c>
      <c r="AH32" s="22" t="s">
        <v>19</v>
      </c>
      <c r="AI32" s="160" t="s">
        <v>20</v>
      </c>
      <c r="AJ32" s="161" t="s">
        <v>80</v>
      </c>
      <c r="AK32" s="162" t="s">
        <v>19</v>
      </c>
      <c r="AL32" s="160" t="s">
        <v>20</v>
      </c>
      <c r="AM32" s="161" t="s">
        <v>80</v>
      </c>
      <c r="AN32" s="162" t="s">
        <v>19</v>
      </c>
      <c r="AO32" s="160" t="s">
        <v>20</v>
      </c>
      <c r="AP32" s="161" t="s">
        <v>80</v>
      </c>
      <c r="AQ32" s="162" t="s">
        <v>19</v>
      </c>
      <c r="AR32" s="14" t="s">
        <v>21</v>
      </c>
      <c r="AS32" s="17" t="s">
        <v>80</v>
      </c>
      <c r="AT32" s="22" t="s">
        <v>19</v>
      </c>
      <c r="AU32" s="14" t="s">
        <v>22</v>
      </c>
      <c r="AV32" s="17" t="s">
        <v>80</v>
      </c>
      <c r="AW32" s="22" t="s">
        <v>19</v>
      </c>
      <c r="AX32" s="14" t="s">
        <v>23</v>
      </c>
      <c r="AY32" s="21" t="s">
        <v>19</v>
      </c>
      <c r="AZ32" s="15" t="s">
        <v>24</v>
      </c>
      <c r="BA32" s="21" t="s">
        <v>19</v>
      </c>
      <c r="BB32" s="15" t="s">
        <v>25</v>
      </c>
      <c r="BC32" s="17" t="s">
        <v>80</v>
      </c>
      <c r="BD32" s="22" t="s">
        <v>19</v>
      </c>
    </row>
    <row r="33" spans="1:56" x14ac:dyDescent="0.2">
      <c r="A33" s="14" t="s">
        <v>26</v>
      </c>
      <c r="B33" s="15">
        <v>14.5</v>
      </c>
      <c r="C33" s="23">
        <f>B33/14.5</f>
        <v>1</v>
      </c>
      <c r="D33" s="23">
        <f>2*3.14158*B33*(12*1185*0.004*0.25^4*0.91/2100000000/0.004^3)^0.5</f>
        <v>3.5336781764375882</v>
      </c>
      <c r="E33" s="14" t="s">
        <v>26</v>
      </c>
      <c r="F33" s="15">
        <v>15.25</v>
      </c>
      <c r="G33" s="23">
        <f>F33/15.25</f>
        <v>1</v>
      </c>
      <c r="H33" s="24">
        <f>2*3.14158*F33*(12*1185*0.004042*0.24684^4*0.91/2100000000/0.004042^3)^0.5</f>
        <v>3.585449220352634</v>
      </c>
      <c r="I33" s="14" t="s">
        <v>26</v>
      </c>
      <c r="J33" s="78">
        <v>16.5</v>
      </c>
      <c r="K33" s="163">
        <f>J33/16.5</f>
        <v>1</v>
      </c>
      <c r="L33" s="84">
        <f>2*3.14158*J33*(12*1185*0.004024*0.24697^4*0.91/2440000000/0.004024^3)^0.5</f>
        <v>3.6188291167515372</v>
      </c>
      <c r="M33" s="26">
        <f>AVERAGE(B33,F33)</f>
        <v>14.875</v>
      </c>
      <c r="N33" s="27">
        <f>AVERAGE(D33,H33,L33)</f>
        <v>3.5793188378472536</v>
      </c>
      <c r="O33" s="28">
        <f>STDEV(D33,H33,L33)</f>
        <v>4.2905207741416838E-2</v>
      </c>
      <c r="P33" s="29">
        <f>O33/N33*100</f>
        <v>1.1986975646802607</v>
      </c>
      <c r="Q33" s="80" t="s">
        <v>26</v>
      </c>
      <c r="R33" s="81">
        <v>49.22</v>
      </c>
      <c r="S33" s="81">
        <v>49.22</v>
      </c>
      <c r="T33" s="81">
        <v>49.22</v>
      </c>
      <c r="U33" s="81">
        <f t="shared" ref="U33:U37" si="41">AVERAGE(R33:T33)</f>
        <v>49.22</v>
      </c>
      <c r="V33" s="81">
        <f t="shared" ref="V33:V37" si="42">STDEV(R33:T33)</f>
        <v>0</v>
      </c>
      <c r="W33" s="90">
        <f>R33/49.22</f>
        <v>1</v>
      </c>
      <c r="X33" s="31">
        <f>2*3.14158*U33*(12*2914.177*0.004*0.25^4*0.91/62000000000/0.004^3)^0.5</f>
        <v>3.4618894244899039</v>
      </c>
      <c r="Y33" s="89">
        <f>N33</f>
        <v>3.5793188378472536</v>
      </c>
      <c r="Z33" s="90">
        <f>(N33-X33)/X33*100</f>
        <v>3.3920613560513262</v>
      </c>
      <c r="AA33" s="88">
        <v>3.32</v>
      </c>
      <c r="AB33" s="164">
        <v>3.45</v>
      </c>
      <c r="AC33" s="14">
        <v>14.992000000000001</v>
      </c>
      <c r="AD33" s="23">
        <f>2*3.14158*AC33*(12*1180*0.004*0.25^4*0.91/2100000000/0.004^3)^0.5</f>
        <v>3.6458634108231762</v>
      </c>
      <c r="AE33" s="33">
        <f>100*(AD33-N33)/N33</f>
        <v>1.8591406910244752</v>
      </c>
      <c r="AF33" s="14">
        <v>14.991</v>
      </c>
      <c r="AG33" s="23">
        <f>2*3.14158*AF33*(12*1180*0.004*0.25^4*0.91/2100000000/0.004^3)^0.5</f>
        <v>3.6456202235625828</v>
      </c>
      <c r="AH33" s="33">
        <f>100*(AG33-N33)/N33</f>
        <v>1.8523464580541671</v>
      </c>
      <c r="AI33" s="165">
        <v>14.701000000000001</v>
      </c>
      <c r="AJ33" s="166">
        <f>2*3.14158*AI33*(12*1185*0.003885*0.24817^4*0.91/2100000000/0.003885^3)^0.5</f>
        <v>3.6349076541310419</v>
      </c>
      <c r="AK33" s="167">
        <f>100*(AI33-B33)/B33</f>
        <v>1.3862068965517276</v>
      </c>
      <c r="AL33" s="165">
        <v>15.459</v>
      </c>
      <c r="AM33" s="166">
        <f>2*3.14158*AL33*(12*1185*0.004042*0.24684^4*0.91/2100000000/0.004042^3)^0.5</f>
        <v>3.6345875080282863</v>
      </c>
      <c r="AN33" s="167">
        <f>100*(AL33-F33)/F33</f>
        <v>1.3704918032786861</v>
      </c>
      <c r="AO33" s="165">
        <v>15.374000000000001</v>
      </c>
      <c r="AP33" s="166">
        <f>2*3.14158*AO33*(12*1185*0.004024*0.24697^4*0.91/2100000000/0.004024^3)^0.5</f>
        <v>3.6345970877743925</v>
      </c>
      <c r="AQ33" s="167">
        <f>100*(AO33-J33)/J33</f>
        <v>-6.8242424242424207</v>
      </c>
      <c r="AR33" s="14">
        <v>14.82</v>
      </c>
      <c r="AS33" s="23">
        <f>2*3.14158*AR33*(12*1180*0.004*0.25^4*0.91/2107000000/0.004^3)^0.5</f>
        <v>3.5980434518856352</v>
      </c>
      <c r="AT33" s="33">
        <f>100*(AS33-N33)/N33</f>
        <v>0.5231334476378583</v>
      </c>
      <c r="AU33" s="14">
        <v>14.82</v>
      </c>
      <c r="AV33" s="15">
        <f>2*3.14158*AU33*(12*1180*0.004*0.25^4*0.91/2107000000/0.004^3)^0.5</f>
        <v>3.5980434518856352</v>
      </c>
      <c r="AW33" s="33">
        <f>100*(AV33-N33)/N33</f>
        <v>0.5231334476378583</v>
      </c>
      <c r="AX33" s="14">
        <v>13.013</v>
      </c>
      <c r="AY33" s="32">
        <f>100*(AX33-M33)/M33</f>
        <v>-12.517647058823531</v>
      </c>
      <c r="AZ33" s="15">
        <v>14.526999999999999</v>
      </c>
      <c r="BA33" s="32">
        <f>100*(AZ33-B33)/B33</f>
        <v>0.18620689655171893</v>
      </c>
      <c r="BB33" s="15">
        <v>14.923</v>
      </c>
      <c r="BC33" s="23">
        <f>2*3.14158*BB33*(12*1180*0.004*0.25^4*0.91/2107000000/0.004^3)^0.5</f>
        <v>3.6230500966591994</v>
      </c>
      <c r="BD33" s="33">
        <f>100*(BC33-N33)/N33</f>
        <v>1.2217760080364224</v>
      </c>
    </row>
    <row r="34" spans="1:56" x14ac:dyDescent="0.2">
      <c r="A34" s="14" t="s">
        <v>28</v>
      </c>
      <c r="B34" s="15">
        <v>93.5</v>
      </c>
      <c r="C34" s="23">
        <f>B34/14.5</f>
        <v>6.4482758620689653</v>
      </c>
      <c r="D34" s="23">
        <f t="shared" ref="D34:D37" si="43">2*3.14158*B34*(12*1185*0.004*0.25^4*0.91/2100000000/0.004^3)^0.5</f>
        <v>22.786131689442378</v>
      </c>
      <c r="E34" s="14" t="s">
        <v>28</v>
      </c>
      <c r="F34" s="15">
        <v>98.5</v>
      </c>
      <c r="G34" s="23">
        <f t="shared" ref="G34:G37" si="44">F34/15.25</f>
        <v>6.4590163934426226</v>
      </c>
      <c r="H34" s="24">
        <f t="shared" ref="H34:H37" si="45">2*3.14158*F34*(12*1185*0.004042*0.24684^4*0.91/2100000000/0.004042^3)^0.5</f>
        <v>23.158475292113735</v>
      </c>
      <c r="I34" s="14" t="s">
        <v>28</v>
      </c>
      <c r="J34" s="78">
        <v>105</v>
      </c>
      <c r="K34" s="163">
        <f t="shared" ref="K34:K37" si="46">J34/16.5</f>
        <v>6.3636363636363633</v>
      </c>
      <c r="L34" s="84">
        <f t="shared" ref="L34:L37" si="47">2*3.14158*J34*(12*1185*0.004024*0.24697^4*0.91/2440000000/0.004024^3)^0.5</f>
        <v>23.028912561146143</v>
      </c>
      <c r="M34" s="26">
        <f t="shared" ref="M34:M37" si="48">AVERAGE(B34,F34)</f>
        <v>96</v>
      </c>
      <c r="N34" s="27">
        <f t="shared" ref="N34:N37" si="49">AVERAGE(D34,H34,L34)</f>
        <v>22.991173180900756</v>
      </c>
      <c r="O34" s="28">
        <f t="shared" ref="O34:O37" si="50">STDEV(D34,H34,L34)</f>
        <v>0.18901887532347403</v>
      </c>
      <c r="P34" s="29">
        <f t="shared" ref="P34:P37" si="51">O34/N34*100</f>
        <v>0.82213671236444752</v>
      </c>
      <c r="Q34" s="80" t="s">
        <v>28</v>
      </c>
      <c r="R34" s="81">
        <v>309.39999999999998</v>
      </c>
      <c r="S34" s="81">
        <v>309.39999999999998</v>
      </c>
      <c r="T34" s="81">
        <v>309.39999999999998</v>
      </c>
      <c r="U34" s="81">
        <f t="shared" si="41"/>
        <v>309.39999999999998</v>
      </c>
      <c r="V34" s="81">
        <f t="shared" si="42"/>
        <v>0</v>
      </c>
      <c r="W34" s="90">
        <f t="shared" ref="W34:W37" si="52">R34/49.22</f>
        <v>6.2860625761885407</v>
      </c>
      <c r="X34" s="31">
        <f t="shared" ref="X34:X37" si="53">2*3.14158*U34*(12*2914.177*0.004*0.25^4*0.91/62000000000/0.004^3)^0.5</f>
        <v>21.761653554188868</v>
      </c>
      <c r="Y34" s="89">
        <f t="shared" ref="Y34:Y37" si="54">N34</f>
        <v>22.991173180900756</v>
      </c>
      <c r="Z34" s="90">
        <f>(N34-X34)/X34*100</f>
        <v>5.6499365898379494</v>
      </c>
      <c r="AA34" s="88">
        <v>20.84</v>
      </c>
      <c r="AB34" s="164">
        <v>21.1</v>
      </c>
      <c r="AC34" s="14">
        <v>93.742999999999995</v>
      </c>
      <c r="AD34" s="23">
        <f t="shared" ref="AD34:AD37" si="55">2*3.14158*AC34*(12*1180*0.004*0.25^4*0.91/2100000000/0.004^3)^0.5</f>
        <v>22.79710336985039</v>
      </c>
      <c r="AE34" s="33">
        <f t="shared" ref="AE34:AE37" si="56">100*(AD34-N34)/N34</f>
        <v>-0.8441057336368688</v>
      </c>
      <c r="AF34" s="14">
        <v>93.760999999999996</v>
      </c>
      <c r="AG34" s="23">
        <f>2*3.14158*AF34*(12*1180*0.004*0.25^4*0.91/2100000000/0.004^3)^0.5</f>
        <v>22.801480740541077</v>
      </c>
      <c r="AH34" s="33">
        <f t="shared" ref="AH34:AH37" si="57">100*(AG34-N34)/N34</f>
        <v>-0.82506638033269186</v>
      </c>
      <c r="AI34" s="165">
        <v>91.929000000000002</v>
      </c>
      <c r="AJ34" s="166">
        <f t="shared" ref="AJ34:AJ37" si="58">2*3.14158*AI34*(12*1185*0.003885*0.24817^4*0.91/2100000000/0.003885^3)^0.5</f>
        <v>22.729979303218322</v>
      </c>
      <c r="AK34" s="167">
        <f t="shared" ref="AK34:AK37" si="59">100*(AI34-B34)/B34</f>
        <v>-1.6802139037433133</v>
      </c>
      <c r="AL34" s="165">
        <v>96.661000000000001</v>
      </c>
      <c r="AM34" s="166">
        <f t="shared" ref="AM34:AM37" si="60">2*3.14158*AL34*(12*1185*0.004042*0.24684^4*0.91/2100000000/0.004042^3)^0.5</f>
        <v>22.72610538285285</v>
      </c>
      <c r="AN34" s="167">
        <f t="shared" ref="AN34:AN37" si="61">100*(AL34-F34)/F34</f>
        <v>-1.8670050761421306</v>
      </c>
      <c r="AO34" s="165">
        <v>96.131</v>
      </c>
      <c r="AP34" s="166">
        <f t="shared" ref="AP34:AP37" si="62">2*3.14158*AO34*(12*1185*0.004024*0.24697^4*0.91/2100000000/0.004024^3)^0.5</f>
        <v>22.72651571775986</v>
      </c>
      <c r="AQ34" s="167">
        <f t="shared" ref="AQ34:AQ37" si="63">100*(AO34-J34)/J34</f>
        <v>-8.4466666666666672</v>
      </c>
      <c r="AR34" s="14">
        <v>92.766000000000005</v>
      </c>
      <c r="AS34" s="23">
        <f t="shared" ref="AS34:AS37" si="64">2*3.14158*AR34*(12*1180*0.004*0.25^4*0.91/2107000000/0.004^3)^0.5</f>
        <v>22.522003971499519</v>
      </c>
      <c r="AT34" s="33">
        <f t="shared" ref="AT34:AT37" si="65">100*(AS34-N34)/N34</f>
        <v>-2.0406492774843925</v>
      </c>
      <c r="AU34" s="14">
        <v>92.763999999999996</v>
      </c>
      <c r="AV34" s="15">
        <f t="shared" ref="AV34:AV37" si="66">2*3.14158*AU34*(12*1180*0.004*0.25^4*0.91/2107000000/0.004^3)^0.5</f>
        <v>22.521518405581585</v>
      </c>
      <c r="AW34" s="33">
        <f t="shared" ref="AW34:AW37" si="67">100*(AV34-N34)/N34</f>
        <v>-2.0427612441687963</v>
      </c>
      <c r="AX34" s="14">
        <v>81.382999999999996</v>
      </c>
      <c r="AY34" s="32">
        <f>100*(AX34-M34)/M34</f>
        <v>-15.226041666666672</v>
      </c>
      <c r="AZ34" s="15">
        <v>90.840999999999994</v>
      </c>
      <c r="BA34" s="32">
        <f>100*(AZ34-B34)/B34</f>
        <v>-2.8438502673796857</v>
      </c>
      <c r="BB34" s="15">
        <v>93.313999999999993</v>
      </c>
      <c r="BC34" s="23">
        <f t="shared" ref="BC34:BC37" si="68">2*3.14158*BB34*(12*1180*0.004*0.25^4*0.91/2107000000/0.004^3)^0.5</f>
        <v>22.655049033013238</v>
      </c>
      <c r="BD34" s="33">
        <f t="shared" ref="BD34:BD37" si="69">100*(BC34-N34)/N34</f>
        <v>-1.4619704059588507</v>
      </c>
    </row>
    <row r="35" spans="1:56" x14ac:dyDescent="0.2">
      <c r="A35" s="14" t="s">
        <v>27</v>
      </c>
      <c r="B35" s="15">
        <v>139.5</v>
      </c>
      <c r="C35" s="23">
        <f t="shared" ref="C35:C37" si="70">B35/14.5</f>
        <v>9.6206896551724146</v>
      </c>
      <c r="D35" s="23">
        <f t="shared" si="43"/>
        <v>33.996421076761621</v>
      </c>
      <c r="E35" s="14" t="s">
        <v>27</v>
      </c>
      <c r="F35" s="15">
        <v>140.5</v>
      </c>
      <c r="G35" s="23">
        <f t="shared" si="44"/>
        <v>9.2131147540983598</v>
      </c>
      <c r="H35" s="24">
        <f t="shared" si="45"/>
        <v>33.033155112101312</v>
      </c>
      <c r="I35" s="14" t="s">
        <v>27</v>
      </c>
      <c r="J35" s="78">
        <v>151.5</v>
      </c>
      <c r="K35" s="163">
        <f t="shared" si="46"/>
        <v>9.1818181818181817</v>
      </c>
      <c r="L35" s="84">
        <f t="shared" si="47"/>
        <v>33.227430981082293</v>
      </c>
      <c r="M35" s="26">
        <f t="shared" si="48"/>
        <v>140</v>
      </c>
      <c r="N35" s="27">
        <f t="shared" si="49"/>
        <v>33.419002389981742</v>
      </c>
      <c r="O35" s="28">
        <f t="shared" si="50"/>
        <v>0.50940655001582846</v>
      </c>
      <c r="P35" s="29">
        <f t="shared" si="51"/>
        <v>1.5243020843989554</v>
      </c>
      <c r="Q35" s="80" t="s">
        <v>27</v>
      </c>
      <c r="R35" s="81">
        <v>501.6</v>
      </c>
      <c r="S35" s="81">
        <v>501.6</v>
      </c>
      <c r="T35" s="81">
        <v>501.6</v>
      </c>
      <c r="U35" s="81">
        <f t="shared" si="41"/>
        <v>501.60000000000008</v>
      </c>
      <c r="V35" s="81">
        <v>0</v>
      </c>
      <c r="W35" s="90">
        <f t="shared" si="52"/>
        <v>10.190979276716783</v>
      </c>
      <c r="X35" s="31">
        <f>2*3.14158*U35*(12*2714.177*0.004*0.25^4*0.91/62000000000/0.004^3)^0.5</f>
        <v>34.047892131098784</v>
      </c>
      <c r="Y35" s="89">
        <f t="shared" si="54"/>
        <v>33.419002389981742</v>
      </c>
      <c r="Z35" s="90">
        <f>(N35-X35)/X35*100</f>
        <v>-1.8470739354305723</v>
      </c>
      <c r="AA35" s="88">
        <v>32.4</v>
      </c>
      <c r="AB35" s="164">
        <v>32</v>
      </c>
      <c r="AC35" s="14">
        <v>145.46</v>
      </c>
      <c r="AD35" s="23">
        <f t="shared" si="55"/>
        <v>35.374018925983144</v>
      </c>
      <c r="AE35" s="35">
        <f t="shared" si="56"/>
        <v>5.8500146509085251</v>
      </c>
      <c r="AF35" s="14">
        <v>145.82</v>
      </c>
      <c r="AG35" s="23">
        <f>2*3.14158*AF35*(12*1180*0.004*0.25^4*0.91/2100000000/0.004^3)^0.5</f>
        <v>35.461566339796931</v>
      </c>
      <c r="AH35" s="35">
        <f t="shared" si="57"/>
        <v>6.1119836133334244</v>
      </c>
      <c r="AI35" s="165">
        <v>143.33000000000001</v>
      </c>
      <c r="AJ35" s="166">
        <f t="shared" si="58"/>
        <v>35.439175162682965</v>
      </c>
      <c r="AK35" s="167">
        <f t="shared" si="59"/>
        <v>2.7455197132616576</v>
      </c>
      <c r="AL35" s="165">
        <v>149.69999999999999</v>
      </c>
      <c r="AM35" s="166">
        <f t="shared" si="60"/>
        <v>35.196180215527164</v>
      </c>
      <c r="AN35" s="167">
        <f t="shared" si="61"/>
        <v>6.5480427046263268</v>
      </c>
      <c r="AO35" s="165">
        <v>148.97</v>
      </c>
      <c r="AP35" s="166">
        <f t="shared" si="62"/>
        <v>35.218285948077998</v>
      </c>
      <c r="AQ35" s="167">
        <f t="shared" si="63"/>
        <v>-1.6699669966996706</v>
      </c>
      <c r="AR35" s="14">
        <v>139.06</v>
      </c>
      <c r="AS35" s="23">
        <f t="shared" si="64"/>
        <v>33.76139827390125</v>
      </c>
      <c r="AT35" s="35">
        <f t="shared" si="65"/>
        <v>1.024554473302143</v>
      </c>
      <c r="AU35" s="14">
        <v>139.06</v>
      </c>
      <c r="AV35" s="15">
        <f t="shared" si="66"/>
        <v>33.76139827390125</v>
      </c>
      <c r="AW35" s="35">
        <f t="shared" si="67"/>
        <v>1.024554473302143</v>
      </c>
      <c r="AX35" s="14">
        <v>126.76</v>
      </c>
      <c r="AY35" s="32">
        <f>100*(AX35-M35)/M35</f>
        <v>-9.4571428571428537</v>
      </c>
      <c r="AZ35" s="15">
        <v>141.05000000000001</v>
      </c>
      <c r="BA35" s="32">
        <f>100*(AZ35-B35)/B35</f>
        <v>1.1111111111111192</v>
      </c>
      <c r="BB35" s="15">
        <v>144.80000000000001</v>
      </c>
      <c r="BC35" s="23">
        <f t="shared" si="68"/>
        <v>35.15497245836977</v>
      </c>
      <c r="BD35" s="33">
        <f t="shared" si="69"/>
        <v>5.1945598139950224</v>
      </c>
    </row>
    <row r="36" spans="1:56" x14ac:dyDescent="0.2">
      <c r="A36" s="14" t="s">
        <v>30</v>
      </c>
      <c r="B36" s="15">
        <v>265.5</v>
      </c>
      <c r="C36" s="23">
        <f t="shared" si="70"/>
        <v>18.310344827586206</v>
      </c>
      <c r="D36" s="23">
        <f t="shared" si="43"/>
        <v>64.702865920288247</v>
      </c>
      <c r="E36" s="14" t="s">
        <v>30</v>
      </c>
      <c r="F36" s="15">
        <v>277</v>
      </c>
      <c r="G36" s="23">
        <f t="shared" si="44"/>
        <v>18.16393442622951</v>
      </c>
      <c r="H36" s="24">
        <f t="shared" si="45"/>
        <v>65.125864527060955</v>
      </c>
      <c r="I36" s="14" t="s">
        <v>30</v>
      </c>
      <c r="J36" s="78">
        <v>296</v>
      </c>
      <c r="K36" s="163">
        <f t="shared" si="46"/>
        <v>17.939393939393938</v>
      </c>
      <c r="L36" s="84">
        <f t="shared" si="47"/>
        <v>64.919601124754848</v>
      </c>
      <c r="M36" s="26">
        <f t="shared" si="48"/>
        <v>271.25</v>
      </c>
      <c r="N36" s="27">
        <f t="shared" si="49"/>
        <v>64.916110524034679</v>
      </c>
      <c r="O36" s="28">
        <f t="shared" si="50"/>
        <v>0.21152090571135937</v>
      </c>
      <c r="P36" s="29">
        <f t="shared" si="51"/>
        <v>0.32583730603059685</v>
      </c>
      <c r="Q36" s="80" t="s">
        <v>30</v>
      </c>
      <c r="R36" s="81">
        <v>864.8</v>
      </c>
      <c r="S36" s="81">
        <v>864.8</v>
      </c>
      <c r="T36" s="81">
        <v>864.8</v>
      </c>
      <c r="U36" s="81">
        <f t="shared" si="41"/>
        <v>864.79999999999984</v>
      </c>
      <c r="V36" s="81">
        <v>0</v>
      </c>
      <c r="W36" s="90">
        <f t="shared" si="52"/>
        <v>17.570093457943926</v>
      </c>
      <c r="X36" s="31">
        <f t="shared" si="53"/>
        <v>60.825720729355304</v>
      </c>
      <c r="Y36" s="89">
        <f t="shared" si="54"/>
        <v>64.916110524034679</v>
      </c>
      <c r="Z36" s="90">
        <f>(N36-X36)/X36*100</f>
        <v>6.7247699585502776</v>
      </c>
      <c r="AA36" s="88" t="s">
        <v>60</v>
      </c>
      <c r="AB36" s="164">
        <v>59.3</v>
      </c>
      <c r="AC36" s="14">
        <v>262.44</v>
      </c>
      <c r="AD36" s="23">
        <f t="shared" si="55"/>
        <v>63.822064670253098</v>
      </c>
      <c r="AE36" s="33">
        <f t="shared" si="56"/>
        <v>-1.6853225569891748</v>
      </c>
      <c r="AF36" s="14">
        <v>262.58999999999997</v>
      </c>
      <c r="AG36" s="23">
        <f>2*3.14158*AF36*(12*1180*0.004*0.25^4*0.91/2100000000/0.004^3)^0.5</f>
        <v>63.858542759342164</v>
      </c>
      <c r="AH36" s="33">
        <f t="shared" si="57"/>
        <v>-1.6291298972709682</v>
      </c>
      <c r="AI36" s="165">
        <v>257.39</v>
      </c>
      <c r="AJ36" s="166">
        <f t="shared" si="58"/>
        <v>63.641172783945905</v>
      </c>
      <c r="AK36" s="167">
        <f t="shared" si="59"/>
        <v>-3.0546139359698734</v>
      </c>
      <c r="AL36" s="165">
        <v>270.58999999999997</v>
      </c>
      <c r="AM36" s="166">
        <f t="shared" si="60"/>
        <v>63.618800297391417</v>
      </c>
      <c r="AN36" s="167">
        <f t="shared" si="61"/>
        <v>-2.3140794223826804</v>
      </c>
      <c r="AO36" s="165">
        <v>269.11</v>
      </c>
      <c r="AP36" s="166">
        <f t="shared" si="62"/>
        <v>63.620815811822993</v>
      </c>
      <c r="AQ36" s="167">
        <f t="shared" si="63"/>
        <v>-9.0844594594594543</v>
      </c>
      <c r="AR36" s="14">
        <v>259.25</v>
      </c>
      <c r="AS36" s="23">
        <f t="shared" si="64"/>
        <v>62.941482112101959</v>
      </c>
      <c r="AT36" s="33">
        <f t="shared" si="65"/>
        <v>-3.0418156540688455</v>
      </c>
      <c r="AU36" s="14">
        <v>259.24</v>
      </c>
      <c r="AV36" s="15">
        <f t="shared" si="66"/>
        <v>62.939054282512295</v>
      </c>
      <c r="AW36" s="33">
        <f t="shared" si="67"/>
        <v>-3.0455556033203717</v>
      </c>
      <c r="AX36" s="14">
        <v>227.93</v>
      </c>
      <c r="AY36" s="32">
        <f>100*(AX36-M36)/M36</f>
        <v>-15.970506912442392</v>
      </c>
      <c r="AZ36" s="15">
        <v>254.35</v>
      </c>
      <c r="BA36" s="32">
        <f>100*(AZ36-B36)/B36</f>
        <v>-4.1996233521657267</v>
      </c>
      <c r="BB36" s="15">
        <v>261.26</v>
      </c>
      <c r="BC36" s="23">
        <f t="shared" si="68"/>
        <v>63.429475859624908</v>
      </c>
      <c r="BD36" s="33">
        <f t="shared" si="69"/>
        <v>-2.2900858545111933</v>
      </c>
    </row>
    <row r="37" spans="1:56" ht="15.75" thickBot="1" x14ac:dyDescent="0.25">
      <c r="A37" s="168" t="s">
        <v>62</v>
      </c>
      <c r="B37" s="169">
        <v>522</v>
      </c>
      <c r="C37" s="23">
        <f t="shared" si="70"/>
        <v>36</v>
      </c>
      <c r="D37" s="23">
        <f t="shared" si="43"/>
        <v>127.21241435175317</v>
      </c>
      <c r="E37" s="168" t="s">
        <v>62</v>
      </c>
      <c r="F37" s="169">
        <v>543.5</v>
      </c>
      <c r="G37" s="23">
        <f t="shared" si="44"/>
        <v>35.639344262295083</v>
      </c>
      <c r="H37" s="24">
        <f t="shared" si="45"/>
        <v>127.78305909912501</v>
      </c>
      <c r="I37" s="168" t="s">
        <v>62</v>
      </c>
      <c r="J37" s="170">
        <v>575.5</v>
      </c>
      <c r="K37" s="163">
        <f t="shared" si="46"/>
        <v>34.878787878787875</v>
      </c>
      <c r="L37" s="84">
        <f t="shared" si="47"/>
        <v>126.22037313275817</v>
      </c>
      <c r="M37" s="171">
        <f t="shared" si="48"/>
        <v>532.75</v>
      </c>
      <c r="N37" s="172">
        <f t="shared" si="49"/>
        <v>127.07194886121211</v>
      </c>
      <c r="O37" s="173">
        <f t="shared" si="50"/>
        <v>0.79075582381331333</v>
      </c>
      <c r="P37" s="174">
        <f t="shared" si="51"/>
        <v>0.62228983729286802</v>
      </c>
      <c r="Q37" s="175" t="s">
        <v>62</v>
      </c>
      <c r="R37" s="176">
        <v>1698</v>
      </c>
      <c r="S37" s="176">
        <v>1698</v>
      </c>
      <c r="T37" s="176">
        <v>1698</v>
      </c>
      <c r="U37" s="176">
        <f t="shared" si="41"/>
        <v>1698</v>
      </c>
      <c r="V37" s="176">
        <f t="shared" si="42"/>
        <v>0</v>
      </c>
      <c r="W37" s="177">
        <f t="shared" si="52"/>
        <v>34.49817147501016</v>
      </c>
      <c r="X37" s="31">
        <f t="shared" si="53"/>
        <v>119.42885499357693</v>
      </c>
      <c r="Y37" s="178">
        <f t="shared" si="54"/>
        <v>127.07194886121211</v>
      </c>
      <c r="Z37" s="179">
        <f>(N37-X37)/X37*100</f>
        <v>6.3997045505009913</v>
      </c>
      <c r="AA37" s="180" t="s">
        <v>60</v>
      </c>
      <c r="AB37" s="181" t="s">
        <v>60</v>
      </c>
      <c r="AC37" s="61">
        <v>514.34</v>
      </c>
      <c r="AD37" s="182">
        <f t="shared" si="55"/>
        <v>125.08093561384689</v>
      </c>
      <c r="AE37" s="183">
        <f t="shared" si="56"/>
        <v>-1.5668393104915705</v>
      </c>
      <c r="AF37" s="61">
        <v>514.91</v>
      </c>
      <c r="AG37" s="182">
        <f>2*3.14158*AF37*(12*1180*0.004*0.25^4*0.91/2100000000/0.004^3)^0.5</f>
        <v>125.21955235238538</v>
      </c>
      <c r="AH37" s="183">
        <f t="shared" si="57"/>
        <v>-1.4577540719469999</v>
      </c>
      <c r="AI37" s="184">
        <v>504.51</v>
      </c>
      <c r="AJ37" s="185">
        <f t="shared" si="58"/>
        <v>124.74302840525488</v>
      </c>
      <c r="AK37" s="186">
        <f t="shared" si="59"/>
        <v>-3.35057471264368</v>
      </c>
      <c r="AL37" s="184">
        <v>530.24</v>
      </c>
      <c r="AM37" s="185">
        <f t="shared" si="60"/>
        <v>124.66548161310037</v>
      </c>
      <c r="AN37" s="186">
        <f t="shared" si="61"/>
        <v>-2.4397424103035861</v>
      </c>
      <c r="AO37" s="184">
        <v>527.36</v>
      </c>
      <c r="AP37" s="185">
        <f t="shared" si="62"/>
        <v>124.67419801019275</v>
      </c>
      <c r="AQ37" s="186">
        <f t="shared" si="63"/>
        <v>-8.3649000868809704</v>
      </c>
      <c r="AR37" s="61">
        <v>506.6</v>
      </c>
      <c r="AS37" s="182">
        <f t="shared" si="64"/>
        <v>122.99384701250088</v>
      </c>
      <c r="AT37" s="183">
        <f t="shared" si="65"/>
        <v>-3.2092856726116068</v>
      </c>
      <c r="AU37" s="61">
        <v>506.57</v>
      </c>
      <c r="AV37" s="62">
        <f t="shared" si="66"/>
        <v>122.98656352373187</v>
      </c>
      <c r="AW37" s="183">
        <f t="shared" si="67"/>
        <v>-3.2150174559314326</v>
      </c>
      <c r="AX37" s="61">
        <v>446.99</v>
      </c>
      <c r="AY37" s="187">
        <f>100*(AX37-M37)/M37</f>
        <v>-16.097606757390896</v>
      </c>
      <c r="AZ37" s="62">
        <v>498.6</v>
      </c>
      <c r="BA37" s="187">
        <f>100*(AZ37-B37)/B37</f>
        <v>-4.4827586206896513</v>
      </c>
      <c r="BB37" s="62">
        <v>512.08000000000004</v>
      </c>
      <c r="BC37" s="182">
        <f t="shared" si="68"/>
        <v>124.32429762763809</v>
      </c>
      <c r="BD37" s="183">
        <f t="shared" si="69"/>
        <v>-2.1622799195241753</v>
      </c>
    </row>
    <row r="38" spans="1:56" x14ac:dyDescent="0.2">
      <c r="A38" s="52" t="s">
        <v>33</v>
      </c>
      <c r="B38" s="53" t="s">
        <v>34</v>
      </c>
      <c r="C38" s="54" t="s">
        <v>35</v>
      </c>
      <c r="D38" s="55" t="s">
        <v>36</v>
      </c>
      <c r="E38" s="52" t="s">
        <v>33</v>
      </c>
      <c r="F38" s="53" t="s">
        <v>34</v>
      </c>
      <c r="G38" s="54" t="s">
        <v>35</v>
      </c>
      <c r="H38" s="55" t="s">
        <v>36</v>
      </c>
      <c r="I38" s="52" t="s">
        <v>33</v>
      </c>
      <c r="J38" s="53" t="s">
        <v>34</v>
      </c>
      <c r="K38" s="54" t="s">
        <v>35</v>
      </c>
      <c r="L38" s="55" t="s">
        <v>36</v>
      </c>
      <c r="M38" s="56"/>
      <c r="N38" s="56"/>
      <c r="O38" s="56"/>
      <c r="P38" s="56"/>
      <c r="Q38" s="76" t="s">
        <v>63</v>
      </c>
      <c r="R38" s="125" t="s">
        <v>64</v>
      </c>
      <c r="S38" s="126"/>
      <c r="T38" s="127" t="s">
        <v>35</v>
      </c>
      <c r="U38" s="127"/>
      <c r="V38" s="127" t="s">
        <v>36</v>
      </c>
      <c r="W38" s="127"/>
      <c r="X38" s="128"/>
      <c r="AA38" s="57"/>
      <c r="AB38" s="57"/>
      <c r="AE38" s="57"/>
      <c r="AH38" s="57"/>
      <c r="AK38" s="57"/>
      <c r="AM38" s="57"/>
      <c r="AO38" s="57"/>
      <c r="AP38" s="2"/>
      <c r="AQ38" s="2"/>
      <c r="AR38" s="57"/>
    </row>
    <row r="39" spans="1:56" x14ac:dyDescent="0.2">
      <c r="A39" s="14" t="s">
        <v>37</v>
      </c>
      <c r="B39" s="15">
        <v>800</v>
      </c>
      <c r="C39" s="58">
        <v>0</v>
      </c>
      <c r="D39" s="59">
        <v>0.5</v>
      </c>
      <c r="E39" s="14" t="s">
        <v>37</v>
      </c>
      <c r="F39" s="15">
        <v>800</v>
      </c>
      <c r="G39" s="58">
        <v>0</v>
      </c>
      <c r="H39" s="59">
        <v>0.5</v>
      </c>
      <c r="I39" s="14" t="s">
        <v>37</v>
      </c>
      <c r="J39" s="15">
        <v>800</v>
      </c>
      <c r="K39" s="58">
        <v>0</v>
      </c>
      <c r="L39" s="59">
        <v>0.5</v>
      </c>
      <c r="M39" s="56"/>
      <c r="N39" s="56"/>
      <c r="O39" s="56"/>
      <c r="P39" s="56"/>
      <c r="Q39" s="83" t="s">
        <v>65</v>
      </c>
      <c r="R39" s="138">
        <v>0</v>
      </c>
      <c r="S39" s="138"/>
      <c r="T39" s="139">
        <v>3200</v>
      </c>
      <c r="U39" s="139"/>
      <c r="V39" s="188">
        <v>0.78129999999999999</v>
      </c>
      <c r="W39" s="188"/>
      <c r="X39" s="189"/>
      <c r="AA39" s="57"/>
      <c r="AB39" s="57"/>
      <c r="AE39" s="57"/>
      <c r="AH39" s="57"/>
      <c r="AK39" s="57"/>
      <c r="AM39" s="57"/>
      <c r="AO39" s="57"/>
      <c r="AP39" s="2"/>
      <c r="AQ39" s="2"/>
      <c r="AR39" s="57"/>
    </row>
    <row r="40" spans="1:56" x14ac:dyDescent="0.2">
      <c r="A40" s="14"/>
      <c r="B40" s="60" t="s">
        <v>38</v>
      </c>
      <c r="C40" s="58" t="s">
        <v>39</v>
      </c>
      <c r="D40" s="59" t="s">
        <v>40</v>
      </c>
      <c r="E40" s="14"/>
      <c r="F40" s="60" t="s">
        <v>38</v>
      </c>
      <c r="G40" s="58" t="s">
        <v>39</v>
      </c>
      <c r="H40" s="59" t="s">
        <v>40</v>
      </c>
      <c r="I40" s="14"/>
      <c r="J40" s="60" t="s">
        <v>38</v>
      </c>
      <c r="K40" s="58" t="s">
        <v>39</v>
      </c>
      <c r="L40" s="59" t="s">
        <v>40</v>
      </c>
      <c r="M40" s="56"/>
      <c r="N40" s="56"/>
      <c r="O40" s="56"/>
      <c r="P40" s="56"/>
      <c r="Q40" s="83"/>
      <c r="R40" s="137" t="s">
        <v>38</v>
      </c>
      <c r="S40" s="138"/>
      <c r="T40" s="139" t="s">
        <v>39</v>
      </c>
      <c r="U40" s="139"/>
      <c r="V40" s="139" t="s">
        <v>67</v>
      </c>
      <c r="W40" s="139"/>
      <c r="X40" s="140"/>
      <c r="AA40" s="57"/>
      <c r="AB40" s="57"/>
      <c r="AE40" s="57"/>
      <c r="AH40" s="57"/>
      <c r="AK40" s="57"/>
      <c r="AM40" s="57"/>
      <c r="AO40" s="57"/>
      <c r="AP40" s="2"/>
      <c r="AQ40" s="2"/>
      <c r="AR40" s="57"/>
    </row>
    <row r="41" spans="1:56" ht="13.9" customHeight="1" thickBot="1" x14ac:dyDescent="0.25">
      <c r="A41" s="61" t="s">
        <v>41</v>
      </c>
      <c r="B41" s="62">
        <v>9</v>
      </c>
      <c r="C41" s="63">
        <v>5</v>
      </c>
      <c r="D41" s="64" t="s">
        <v>43</v>
      </c>
      <c r="E41" s="61" t="s">
        <v>41</v>
      </c>
      <c r="F41" s="62">
        <v>9</v>
      </c>
      <c r="G41" s="63">
        <v>5</v>
      </c>
      <c r="H41" s="64" t="s">
        <v>43</v>
      </c>
      <c r="I41" s="61" t="s">
        <v>41</v>
      </c>
      <c r="J41" s="62">
        <v>9</v>
      </c>
      <c r="K41" s="63">
        <v>5</v>
      </c>
      <c r="L41" s="64" t="s">
        <v>43</v>
      </c>
      <c r="M41" s="56"/>
      <c r="N41" s="56"/>
      <c r="O41" s="56"/>
      <c r="P41" s="56"/>
      <c r="Q41" s="142" t="s">
        <v>69</v>
      </c>
      <c r="R41" s="190">
        <v>13</v>
      </c>
      <c r="S41" s="190"/>
      <c r="T41" s="191">
        <v>3</v>
      </c>
      <c r="U41" s="191"/>
      <c r="V41" s="191" t="s">
        <v>42</v>
      </c>
      <c r="W41" s="191"/>
      <c r="X41" s="192"/>
      <c r="AA41" s="57"/>
      <c r="AB41" s="57"/>
      <c r="AE41" s="57"/>
      <c r="AH41" s="57"/>
      <c r="AK41" s="57"/>
      <c r="AM41" s="57"/>
      <c r="AO41" s="57"/>
      <c r="AP41" s="2"/>
      <c r="AQ41" s="2"/>
      <c r="AR41" s="57"/>
    </row>
    <row r="42" spans="1:56" ht="13.9" customHeight="1" x14ac:dyDescent="0.2">
      <c r="C42" s="56"/>
      <c r="D42" s="56"/>
      <c r="G42" s="56"/>
      <c r="H42" s="56"/>
      <c r="K42" s="56"/>
      <c r="L42" s="56"/>
      <c r="P42" s="56"/>
      <c r="Q42" s="56"/>
      <c r="R42" s="56"/>
      <c r="S42" s="56"/>
      <c r="T42" s="56"/>
      <c r="W42" s="57"/>
      <c r="Z42" s="57"/>
      <c r="AA42" s="57"/>
      <c r="AD42" s="57"/>
      <c r="AG42" s="57"/>
      <c r="AI42" s="57"/>
      <c r="AJ42" s="57"/>
      <c r="AK42" s="57"/>
      <c r="AN42" s="57"/>
    </row>
    <row r="43" spans="1:56" ht="13.5" customHeight="1" thickBot="1" x14ac:dyDescent="0.25">
      <c r="C43" s="56"/>
      <c r="D43" s="56"/>
      <c r="G43" s="56"/>
      <c r="H43" s="56"/>
      <c r="K43" s="56"/>
      <c r="L43" s="56"/>
      <c r="P43" s="56"/>
      <c r="Q43" s="56"/>
      <c r="R43" s="56"/>
      <c r="S43" s="56"/>
      <c r="T43" s="56"/>
      <c r="W43" s="57"/>
      <c r="Z43" s="57"/>
      <c r="AA43" s="57"/>
      <c r="AD43" s="57"/>
      <c r="AG43" s="57"/>
      <c r="AI43" s="57"/>
      <c r="AJ43" s="57"/>
      <c r="AK43" s="57"/>
      <c r="AN43" s="57"/>
    </row>
    <row r="44" spans="1:56" ht="17.649999999999999" customHeight="1" x14ac:dyDescent="0.2">
      <c r="A44" s="4" t="s">
        <v>81</v>
      </c>
      <c r="B44" s="5" t="s">
        <v>71</v>
      </c>
      <c r="C44" s="5" t="s">
        <v>82</v>
      </c>
      <c r="D44" s="153"/>
      <c r="E44" s="4" t="s">
        <v>83</v>
      </c>
      <c r="F44" s="5" t="s">
        <v>71</v>
      </c>
      <c r="G44" s="5" t="s">
        <v>82</v>
      </c>
      <c r="H44" s="153"/>
      <c r="I44" s="4" t="s">
        <v>84</v>
      </c>
      <c r="J44" s="5" t="s">
        <v>71</v>
      </c>
      <c r="K44" s="5" t="s">
        <v>82</v>
      </c>
      <c r="L44" s="5"/>
      <c r="M44" s="8" t="s">
        <v>6</v>
      </c>
      <c r="N44" s="9"/>
      <c r="O44" s="66"/>
      <c r="P44" s="77"/>
      <c r="Q44" s="4" t="s">
        <v>7</v>
      </c>
      <c r="R44" s="6"/>
      <c r="S44" s="7"/>
      <c r="T44" s="4"/>
      <c r="U44" s="6"/>
      <c r="V44" s="7"/>
      <c r="W44" s="4"/>
      <c r="X44" s="6"/>
      <c r="Y44" s="7"/>
      <c r="Z44" s="13"/>
      <c r="AC44" s="13"/>
      <c r="AF44" s="13"/>
      <c r="AH44" s="13"/>
      <c r="AK44" s="13"/>
      <c r="AL44" s="3"/>
      <c r="AM44" s="3"/>
      <c r="AN44" s="3"/>
    </row>
    <row r="45" spans="1:56" ht="13.5" customHeight="1" x14ac:dyDescent="0.2">
      <c r="A45" s="14" t="s">
        <v>8</v>
      </c>
      <c r="B45" s="15" t="s">
        <v>9</v>
      </c>
      <c r="C45" s="15" t="s">
        <v>10</v>
      </c>
      <c r="D45" s="16" t="s">
        <v>11</v>
      </c>
      <c r="E45" s="14" t="s">
        <v>8</v>
      </c>
      <c r="F45" s="15" t="s">
        <v>9</v>
      </c>
      <c r="G45" s="15" t="s">
        <v>10</v>
      </c>
      <c r="H45" s="16" t="s">
        <v>11</v>
      </c>
      <c r="I45" s="14" t="s">
        <v>8</v>
      </c>
      <c r="J45" s="15" t="s">
        <v>85</v>
      </c>
      <c r="K45" s="15" t="s">
        <v>86</v>
      </c>
      <c r="L45" s="17" t="s">
        <v>80</v>
      </c>
      <c r="M45" s="14" t="s">
        <v>12</v>
      </c>
      <c r="N45" s="15" t="s">
        <v>13</v>
      </c>
      <c r="O45" s="18" t="s">
        <v>14</v>
      </c>
      <c r="P45" s="16" t="s">
        <v>15</v>
      </c>
      <c r="Q45" s="14" t="s">
        <v>87</v>
      </c>
      <c r="R45" s="15" t="s">
        <v>11</v>
      </c>
      <c r="S45" s="22" t="s">
        <v>19</v>
      </c>
      <c r="T45" s="14" t="s">
        <v>88</v>
      </c>
      <c r="U45" s="15" t="s">
        <v>11</v>
      </c>
      <c r="V45" s="22" t="s">
        <v>19</v>
      </c>
      <c r="W45" s="14" t="s">
        <v>89</v>
      </c>
      <c r="X45" s="15" t="s">
        <v>11</v>
      </c>
      <c r="Y45" s="22" t="s">
        <v>19</v>
      </c>
      <c r="AL45" s="3"/>
      <c r="AM45" s="3"/>
      <c r="AN45" s="3"/>
    </row>
    <row r="46" spans="1:56" x14ac:dyDescent="0.2">
      <c r="A46" s="14" t="s">
        <v>26</v>
      </c>
      <c r="B46" s="78">
        <v>15.25</v>
      </c>
      <c r="C46" s="163">
        <f>B46/15.25</f>
        <v>1</v>
      </c>
      <c r="D46" s="84">
        <f>2*3.14158*B46*(12*1185*0.004*0.25^4*0.91/2440000000/0.004^3)^0.5</f>
        <v>3.4478119454509146</v>
      </c>
      <c r="E46" s="14" t="s">
        <v>26</v>
      </c>
      <c r="F46" s="15">
        <v>14.25</v>
      </c>
      <c r="G46" s="23">
        <f>F46/14.25</f>
        <v>1</v>
      </c>
      <c r="H46" s="24">
        <f>2*3.14158*F46*(12*1185*0.004*0.25^4*0.91/2100000000/0.004^3)^0.5</f>
        <v>3.4727526906369399</v>
      </c>
      <c r="I46" s="14" t="s">
        <v>26</v>
      </c>
      <c r="J46" s="15">
        <v>14.5</v>
      </c>
      <c r="K46" s="23">
        <f>J46/14.5</f>
        <v>1</v>
      </c>
      <c r="L46" s="25">
        <f>2*3.14158*J46*(12*1185*0.004*0.25^4*0.91/2100000000/0.004^3)^0.5</f>
        <v>3.5336781764375882</v>
      </c>
      <c r="M46" s="26">
        <f>AVERAGE(J46,F46)</f>
        <v>14.375</v>
      </c>
      <c r="N46" s="27">
        <f t="shared" ref="N46:N50" si="71">AVERAGE(H46,L46)</f>
        <v>3.5032154335372638</v>
      </c>
      <c r="O46" s="28">
        <f>STDEV(L46,H46,D46)</f>
        <v>4.4171946629687979E-2</v>
      </c>
      <c r="P46" s="29">
        <f>O46/N46*100</f>
        <v>1.2608972376296801</v>
      </c>
      <c r="Q46" s="193">
        <v>14.2576</v>
      </c>
      <c r="R46" s="23">
        <f>2*3.14158*Q46*(12*1185*0.004*0.25^4*0.91/2100000000/0.004^3)^0.5</f>
        <v>3.4746048254052799</v>
      </c>
      <c r="S46" s="33">
        <f>100*(R46-N46)/N46</f>
        <v>-0.81669565217390083</v>
      </c>
      <c r="T46" s="193">
        <v>14.3811</v>
      </c>
      <c r="U46" s="23">
        <f>2*3.14158*T46*(12*1185*0.004*0.25^4*0.91/2100000000/0.004^3)^0.5</f>
        <v>3.5047020153907997</v>
      </c>
      <c r="V46" s="33">
        <f>100*(U46-N46)/N46</f>
        <v>4.2434782608698013E-2</v>
      </c>
      <c r="W46" s="14">
        <v>14.257300000000001</v>
      </c>
      <c r="X46" s="15">
        <f>2*3.14158*W46*(12*1185*0.004*0.25^4*0.91/2100000000/0.004^3)^0.5</f>
        <v>3.4745317148223189</v>
      </c>
      <c r="Y46" s="33">
        <f>100*(X46-N46)/N46</f>
        <v>-0.81878260869564634</v>
      </c>
      <c r="AL46" s="3"/>
      <c r="AM46" s="3"/>
      <c r="AN46" s="3"/>
    </row>
    <row r="47" spans="1:56" x14ac:dyDescent="0.2">
      <c r="A47" s="14" t="s">
        <v>28</v>
      </c>
      <c r="B47" s="78">
        <v>95.5</v>
      </c>
      <c r="C47" s="163">
        <f t="shared" ref="C47:C50" si="72">B47/15.25</f>
        <v>6.2622950819672134</v>
      </c>
      <c r="D47" s="84">
        <f t="shared" ref="D47:D51" si="73">2*3.14158*B47*(12*1185*0.004*0.25^4*0.91/2440000000/0.004^3)^0.5</f>
        <v>21.591215789545071</v>
      </c>
      <c r="E47" s="14" t="s">
        <v>28</v>
      </c>
      <c r="F47" s="15">
        <v>91</v>
      </c>
      <c r="G47" s="23">
        <f t="shared" ref="G47:G51" si="74">F47/14.25</f>
        <v>6.3859649122807021</v>
      </c>
      <c r="H47" s="24">
        <f t="shared" ref="H47:H51" si="75">2*3.14158*F47*(12*1185*0.004*0.25^4*0.91/2100000000/0.004^3)^0.5</f>
        <v>22.176876831435898</v>
      </c>
      <c r="I47" s="14" t="s">
        <v>28</v>
      </c>
      <c r="J47" s="15">
        <v>91.5</v>
      </c>
      <c r="K47" s="23">
        <f t="shared" ref="K47:K51" si="76">J47/14.5</f>
        <v>6.3103448275862073</v>
      </c>
      <c r="L47" s="25">
        <f t="shared" ref="L47:L51" si="77">2*3.14158*J47*(12*1185*0.004*0.25^4*0.91/2100000000/0.004^3)^0.5</f>
        <v>22.298727803037195</v>
      </c>
      <c r="M47" s="26">
        <f t="shared" ref="M47:M51" si="78">AVERAGE(J47,F47)</f>
        <v>91.25</v>
      </c>
      <c r="N47" s="27">
        <f t="shared" si="71"/>
        <v>22.237802317236547</v>
      </c>
      <c r="O47" s="28">
        <f t="shared" ref="O47:O51" si="79">STDEV(L47,H47,D47)</f>
        <v>0.37824589984658319</v>
      </c>
      <c r="P47" s="29">
        <f t="shared" ref="P47:P51" si="80">O47/N47*100</f>
        <v>1.7009140312098392</v>
      </c>
      <c r="Q47" s="193">
        <v>89.206599999999995</v>
      </c>
      <c r="R47" s="23">
        <f t="shared" ref="R47:R51" si="81">2*3.14158*Q47*(12*1185*0.004*0.25^4*0.91/2100000000/0.004^3)^0.5</f>
        <v>21.739821766496366</v>
      </c>
      <c r="S47" s="33">
        <f t="shared" ref="S47:S51" si="82">100*(R47-N47)/N47</f>
        <v>-2.2393424657534409</v>
      </c>
      <c r="T47" s="193">
        <v>89.826599999999999</v>
      </c>
      <c r="U47" s="23">
        <f t="shared" ref="U47:U51" si="83">2*3.14158*T47*(12*1185*0.004*0.25^4*0.91/2100000000/0.004^3)^0.5</f>
        <v>21.890916971281975</v>
      </c>
      <c r="V47" s="33">
        <f t="shared" ref="V47:V51" si="84">100*(U47-N47)/N47</f>
        <v>-1.5598904109589136</v>
      </c>
      <c r="W47" s="14">
        <v>89.267799999999994</v>
      </c>
      <c r="X47" s="15">
        <f t="shared" ref="X47:X51" si="85">2*3.14158*W47*(12*1185*0.004*0.25^4*0.91/2100000000/0.004^3)^0.5</f>
        <v>21.754736325420364</v>
      </c>
      <c r="Y47" s="33">
        <f t="shared" ref="Y47:Y50" si="86">100*(X47-N47)/N47</f>
        <v>-2.1722739726027593</v>
      </c>
      <c r="AL47" s="3"/>
      <c r="AM47" s="3"/>
      <c r="AN47" s="3"/>
    </row>
    <row r="48" spans="1:56" x14ac:dyDescent="0.2">
      <c r="A48" s="14" t="s">
        <v>27</v>
      </c>
      <c r="B48" s="78">
        <v>157</v>
      </c>
      <c r="C48" s="163">
        <f t="shared" si="72"/>
        <v>10.295081967213115</v>
      </c>
      <c r="D48" s="84">
        <f t="shared" si="73"/>
        <v>35.495506585953677</v>
      </c>
      <c r="E48" s="194" t="s">
        <v>27</v>
      </c>
      <c r="F48" s="78">
        <v>162</v>
      </c>
      <c r="G48" s="163">
        <f t="shared" si="74"/>
        <v>11.368421052631579</v>
      </c>
      <c r="H48" s="84">
        <f t="shared" si="75"/>
        <v>39.479714798819948</v>
      </c>
      <c r="I48" s="194" t="s">
        <v>27</v>
      </c>
      <c r="J48" s="78">
        <v>163.30000000000001</v>
      </c>
      <c r="K48" s="163">
        <f t="shared" si="76"/>
        <v>11.262068965517242</v>
      </c>
      <c r="L48" s="195">
        <f t="shared" si="77"/>
        <v>39.796527324983323</v>
      </c>
      <c r="M48" s="26">
        <f t="shared" si="78"/>
        <v>162.65</v>
      </c>
      <c r="N48" s="27">
        <f>AVERAGE(H48,L48)</f>
        <v>39.638121061901636</v>
      </c>
      <c r="O48" s="28">
        <f t="shared" si="79"/>
        <v>2.3969795110293908</v>
      </c>
      <c r="P48" s="29">
        <f t="shared" si="80"/>
        <v>6.0471572486649947</v>
      </c>
      <c r="Q48" s="193">
        <v>166.47300000000001</v>
      </c>
      <c r="R48" s="23">
        <f t="shared" si="81"/>
        <v>40.569793590765151</v>
      </c>
      <c r="S48" s="35">
        <f t="shared" si="82"/>
        <v>2.3504457423916514</v>
      </c>
      <c r="T48" s="193">
        <v>159.922</v>
      </c>
      <c r="U48" s="23">
        <f t="shared" si="83"/>
        <v>38.973302160844966</v>
      </c>
      <c r="V48" s="35">
        <f t="shared" si="84"/>
        <v>-1.6772210267445382</v>
      </c>
      <c r="W48" s="14">
        <v>326.49900000000002</v>
      </c>
      <c r="X48" s="15">
        <f t="shared" si="85"/>
        <v>79.568440753703186</v>
      </c>
      <c r="Y48" s="33">
        <f t="shared" si="86"/>
        <v>100.73716569320629</v>
      </c>
      <c r="AL48" s="3"/>
      <c r="AM48" s="3"/>
      <c r="AN48" s="3"/>
    </row>
    <row r="49" spans="1:40" x14ac:dyDescent="0.2">
      <c r="A49" s="14" t="s">
        <v>30</v>
      </c>
      <c r="B49" s="78">
        <v>266.8</v>
      </c>
      <c r="C49" s="163">
        <f t="shared" si="72"/>
        <v>17.495081967213114</v>
      </c>
      <c r="D49" s="84">
        <f t="shared" si="73"/>
        <v>60.319752593200263</v>
      </c>
      <c r="E49" s="14" t="s">
        <v>30</v>
      </c>
      <c r="F49" s="15">
        <v>254.5</v>
      </c>
      <c r="G49" s="23">
        <f t="shared" si="74"/>
        <v>17.859649122807017</v>
      </c>
      <c r="H49" s="24">
        <f t="shared" si="75"/>
        <v>62.022144545059739</v>
      </c>
      <c r="I49" s="14" t="s">
        <v>30</v>
      </c>
      <c r="J49" s="15">
        <v>256</v>
      </c>
      <c r="K49" s="23">
        <f t="shared" si="76"/>
        <v>17.655172413793103</v>
      </c>
      <c r="L49" s="25">
        <f t="shared" si="77"/>
        <v>62.387697459863624</v>
      </c>
      <c r="M49" s="26">
        <f t="shared" si="78"/>
        <v>255.25</v>
      </c>
      <c r="N49" s="27">
        <f t="shared" si="71"/>
        <v>62.204921002461681</v>
      </c>
      <c r="O49" s="28">
        <f t="shared" si="79"/>
        <v>1.1036427005479683</v>
      </c>
      <c r="P49" s="29">
        <f t="shared" si="80"/>
        <v>1.7742048101054466</v>
      </c>
      <c r="Q49" s="193">
        <v>249.07599999999999</v>
      </c>
      <c r="R49" s="23">
        <f t="shared" si="81"/>
        <v>60.700305205128871</v>
      </c>
      <c r="S49" s="33">
        <f t="shared" si="82"/>
        <v>-2.4188050930460427</v>
      </c>
      <c r="T49" s="193">
        <v>250.482</v>
      </c>
      <c r="U49" s="23">
        <f t="shared" si="83"/>
        <v>61.042950137271717</v>
      </c>
      <c r="V49" s="33">
        <f t="shared" si="84"/>
        <v>-1.8679725759059813</v>
      </c>
      <c r="W49" s="14">
        <v>245.59</v>
      </c>
      <c r="X49" s="15">
        <f t="shared" si="85"/>
        <v>59.850760231124639</v>
      </c>
      <c r="Y49" s="33">
        <f t="shared" si="86"/>
        <v>-3.7845249755142034</v>
      </c>
      <c r="AL49" s="3"/>
      <c r="AM49" s="3"/>
      <c r="AN49" s="3"/>
    </row>
    <row r="50" spans="1:40" x14ac:dyDescent="0.2">
      <c r="A50" s="14" t="s">
        <v>29</v>
      </c>
      <c r="B50" s="78">
        <v>475.3</v>
      </c>
      <c r="C50" s="163">
        <f t="shared" si="72"/>
        <v>31.167213114754098</v>
      </c>
      <c r="D50" s="84">
        <f t="shared" si="73"/>
        <v>107.45868968346359</v>
      </c>
      <c r="E50" s="14" t="s">
        <v>29</v>
      </c>
      <c r="F50" s="15">
        <v>489</v>
      </c>
      <c r="G50" s="23">
        <f t="shared" si="74"/>
        <v>34.315789473684212</v>
      </c>
      <c r="H50" s="24">
        <f t="shared" si="75"/>
        <v>119.17025022606764</v>
      </c>
      <c r="I50" s="14" t="s">
        <v>29</v>
      </c>
      <c r="J50" s="15">
        <v>490.5</v>
      </c>
      <c r="K50" s="23">
        <f t="shared" si="76"/>
        <v>33.827586206896555</v>
      </c>
      <c r="L50" s="25">
        <f t="shared" si="77"/>
        <v>119.53580314087152</v>
      </c>
      <c r="M50" s="26">
        <f t="shared" si="78"/>
        <v>489.75</v>
      </c>
      <c r="N50" s="27">
        <f t="shared" si="71"/>
        <v>119.35302668346958</v>
      </c>
      <c r="O50" s="28">
        <f t="shared" si="79"/>
        <v>6.8696306152478748</v>
      </c>
      <c r="P50" s="29">
        <f t="shared" si="80"/>
        <v>5.7557238439092888</v>
      </c>
      <c r="Q50" s="193">
        <v>495.73200000000003</v>
      </c>
      <c r="R50" s="23">
        <f t="shared" si="81"/>
        <v>120.81085170770749</v>
      </c>
      <c r="S50" s="35">
        <f t="shared" si="82"/>
        <v>1.2214395099540569</v>
      </c>
      <c r="T50" s="193">
        <v>480.18599999999998</v>
      </c>
      <c r="U50" s="23">
        <f t="shared" si="83"/>
        <v>117.02226129867996</v>
      </c>
      <c r="V50" s="35">
        <f t="shared" si="84"/>
        <v>-1.9528330781010905</v>
      </c>
      <c r="W50" s="196">
        <v>979.52200000000005</v>
      </c>
      <c r="X50" s="15">
        <f t="shared" si="85"/>
        <v>238.71141480968959</v>
      </c>
      <c r="Y50" s="33">
        <f t="shared" si="86"/>
        <v>100.00449208779987</v>
      </c>
      <c r="AL50" s="3"/>
      <c r="AM50" s="3"/>
      <c r="AN50" s="3"/>
    </row>
    <row r="51" spans="1:40" ht="15.75" thickBot="1" x14ac:dyDescent="0.25">
      <c r="A51" s="168" t="s">
        <v>62</v>
      </c>
      <c r="B51" s="170">
        <v>520</v>
      </c>
      <c r="C51" s="163">
        <f>B51/15.25</f>
        <v>34.098360655737707</v>
      </c>
      <c r="D51" s="84">
        <f t="shared" si="73"/>
        <v>117.56473518914594</v>
      </c>
      <c r="E51" s="61" t="s">
        <v>62</v>
      </c>
      <c r="F51" s="62">
        <v>497</v>
      </c>
      <c r="G51" s="182">
        <f t="shared" si="74"/>
        <v>34.877192982456137</v>
      </c>
      <c r="H51" s="24">
        <f t="shared" si="75"/>
        <v>121.11986577168835</v>
      </c>
      <c r="I51" s="168" t="s">
        <v>62</v>
      </c>
      <c r="J51" s="169">
        <v>499.5</v>
      </c>
      <c r="K51" s="23">
        <f t="shared" si="76"/>
        <v>34.448275862068968</v>
      </c>
      <c r="L51" s="25">
        <f t="shared" si="77"/>
        <v>121.72912062969485</v>
      </c>
      <c r="M51" s="171">
        <f t="shared" si="78"/>
        <v>498.25</v>
      </c>
      <c r="N51" s="172">
        <f>AVERAGE(H51,L51)</f>
        <v>121.4244932006916</v>
      </c>
      <c r="O51" s="173">
        <f t="shared" si="79"/>
        <v>2.2491572880521518</v>
      </c>
      <c r="P51" s="174">
        <f t="shared" si="80"/>
        <v>1.8523093889588838</v>
      </c>
      <c r="Q51" s="197">
        <v>485.07400000000001</v>
      </c>
      <c r="R51" s="182">
        <f t="shared" si="81"/>
        <v>118.21347639705427</v>
      </c>
      <c r="S51" s="183">
        <f t="shared" si="82"/>
        <v>-2.6444555945810166</v>
      </c>
      <c r="T51" s="197">
        <v>487.31400000000002</v>
      </c>
      <c r="U51" s="182">
        <f t="shared" si="83"/>
        <v>118.75936874982806</v>
      </c>
      <c r="V51" s="183">
        <f t="shared" si="84"/>
        <v>-2.1948820873055657</v>
      </c>
      <c r="W51" s="61">
        <v>488.07799999999997</v>
      </c>
      <c r="X51" s="62">
        <f t="shared" si="85"/>
        <v>118.94555703443483</v>
      </c>
      <c r="Y51" s="183">
        <f>100*(X51-N51)/N51</f>
        <v>-2.0415454089312628</v>
      </c>
      <c r="AL51" s="3"/>
      <c r="AM51" s="3"/>
      <c r="AN51" s="3"/>
    </row>
    <row r="52" spans="1:40" x14ac:dyDescent="0.2">
      <c r="A52" s="52" t="s">
        <v>33</v>
      </c>
      <c r="B52" s="53" t="s">
        <v>34</v>
      </c>
      <c r="C52" s="54" t="s">
        <v>35</v>
      </c>
      <c r="D52" s="55" t="s">
        <v>36</v>
      </c>
      <c r="E52" s="52" t="s">
        <v>33</v>
      </c>
      <c r="F52" s="53" t="s">
        <v>34</v>
      </c>
      <c r="G52" s="54" t="s">
        <v>35</v>
      </c>
      <c r="H52" s="55" t="s">
        <v>36</v>
      </c>
      <c r="I52" s="52" t="s">
        <v>33</v>
      </c>
      <c r="J52" s="53" t="s">
        <v>34</v>
      </c>
      <c r="K52" s="54" t="s">
        <v>35</v>
      </c>
      <c r="L52" s="55" t="s">
        <v>36</v>
      </c>
      <c r="W52" s="57"/>
      <c r="Z52" s="57"/>
      <c r="AA52" s="57"/>
      <c r="AD52" s="57"/>
    </row>
    <row r="53" spans="1:40" x14ac:dyDescent="0.2">
      <c r="A53" s="14" t="s">
        <v>37</v>
      </c>
      <c r="B53" s="15">
        <v>800</v>
      </c>
      <c r="C53" s="58">
        <v>0</v>
      </c>
      <c r="D53" s="129">
        <v>0.25</v>
      </c>
      <c r="E53" s="14" t="s">
        <v>37</v>
      </c>
      <c r="F53" s="15">
        <v>800</v>
      </c>
      <c r="G53" s="58">
        <v>0</v>
      </c>
      <c r="H53" s="129">
        <v>0.25</v>
      </c>
      <c r="I53" s="14" t="s">
        <v>37</v>
      </c>
      <c r="J53" s="15">
        <v>800</v>
      </c>
      <c r="K53" s="58">
        <v>0</v>
      </c>
      <c r="L53" s="59">
        <v>0.25</v>
      </c>
      <c r="W53" s="57"/>
      <c r="Z53" s="57"/>
      <c r="AA53" s="57"/>
      <c r="AD53" s="57"/>
    </row>
    <row r="54" spans="1:40" x14ac:dyDescent="0.2">
      <c r="A54" s="14"/>
      <c r="B54" s="60" t="s">
        <v>38</v>
      </c>
      <c r="C54" s="58" t="s">
        <v>39</v>
      </c>
      <c r="D54" s="59" t="s">
        <v>40</v>
      </c>
      <c r="E54" s="14"/>
      <c r="F54" s="60" t="s">
        <v>38</v>
      </c>
      <c r="G54" s="58" t="s">
        <v>39</v>
      </c>
      <c r="H54" s="59" t="s">
        <v>40</v>
      </c>
      <c r="I54" s="14"/>
      <c r="J54" s="60" t="s">
        <v>38</v>
      </c>
      <c r="K54" s="58" t="s">
        <v>39</v>
      </c>
      <c r="L54" s="59" t="s">
        <v>40</v>
      </c>
      <c r="W54" s="57"/>
      <c r="Z54" s="57"/>
      <c r="AA54" s="57"/>
      <c r="AD54" s="57"/>
    </row>
    <row r="55" spans="1:40" ht="15.75" thickBot="1" x14ac:dyDescent="0.25">
      <c r="A55" s="61" t="s">
        <v>41</v>
      </c>
      <c r="B55" s="62">
        <v>9</v>
      </c>
      <c r="C55" s="63">
        <v>5</v>
      </c>
      <c r="D55" s="141" t="s">
        <v>90</v>
      </c>
      <c r="E55" s="61" t="s">
        <v>41</v>
      </c>
      <c r="F55" s="62">
        <v>9</v>
      </c>
      <c r="G55" s="63">
        <v>5</v>
      </c>
      <c r="H55" s="141" t="s">
        <v>90</v>
      </c>
      <c r="I55" s="61" t="s">
        <v>41</v>
      </c>
      <c r="J55" s="62">
        <v>9</v>
      </c>
      <c r="K55" s="63">
        <v>5</v>
      </c>
      <c r="L55" s="64" t="s">
        <v>90</v>
      </c>
      <c r="W55" s="57"/>
      <c r="Z55" s="57"/>
      <c r="AA55" s="57"/>
      <c r="AD55" s="57"/>
    </row>
    <row r="56" spans="1:40" x14ac:dyDescent="0.2">
      <c r="A56" s="198"/>
      <c r="B56" s="198"/>
      <c r="C56" s="199"/>
      <c r="D56" s="199"/>
      <c r="E56" s="198"/>
      <c r="F56" s="198"/>
      <c r="G56" s="199"/>
      <c r="H56" s="199"/>
      <c r="I56" s="198"/>
      <c r="J56" s="198"/>
      <c r="K56" s="199"/>
      <c r="L56" s="199"/>
      <c r="M56" s="198"/>
      <c r="W56" s="57"/>
      <c r="Z56" s="57"/>
      <c r="AA56" s="57"/>
      <c r="AD56" s="57"/>
    </row>
    <row r="57" spans="1:40" ht="15.75" thickBot="1" x14ac:dyDescent="0.25">
      <c r="A57" s="198"/>
      <c r="B57" s="198"/>
      <c r="C57" s="199"/>
      <c r="D57" s="199"/>
      <c r="E57" s="198"/>
      <c r="F57" s="198"/>
      <c r="G57" s="199"/>
      <c r="H57" s="199"/>
      <c r="I57" s="198"/>
      <c r="J57" s="198"/>
      <c r="K57" s="199"/>
      <c r="L57" s="199"/>
      <c r="M57" s="198"/>
      <c r="W57" s="57"/>
      <c r="Z57" s="57"/>
      <c r="AA57" s="57"/>
      <c r="AD57" s="57"/>
    </row>
    <row r="58" spans="1:40" ht="18.75" x14ac:dyDescent="0.2">
      <c r="A58" s="4" t="s">
        <v>91</v>
      </c>
      <c r="B58" s="5" t="s">
        <v>71</v>
      </c>
      <c r="C58" s="5" t="s">
        <v>92</v>
      </c>
      <c r="D58" s="153"/>
      <c r="E58" s="4" t="s">
        <v>93</v>
      </c>
      <c r="F58" s="5" t="s">
        <v>71</v>
      </c>
      <c r="G58" s="5" t="s">
        <v>92</v>
      </c>
      <c r="H58" s="153"/>
      <c r="I58" s="4" t="s">
        <v>94</v>
      </c>
      <c r="J58" s="5" t="s">
        <v>71</v>
      </c>
      <c r="K58" s="5" t="s">
        <v>92</v>
      </c>
      <c r="L58" s="153"/>
      <c r="M58" s="65" t="s">
        <v>6</v>
      </c>
      <c r="N58" s="66"/>
      <c r="O58" s="66"/>
      <c r="P58" s="77"/>
      <c r="Q58" s="4" t="s">
        <v>7</v>
      </c>
      <c r="R58" s="6"/>
      <c r="S58" s="7"/>
      <c r="T58" s="4"/>
      <c r="U58" s="6"/>
      <c r="V58" s="7"/>
      <c r="W58" s="5"/>
      <c r="X58" s="6"/>
      <c r="Y58" s="7"/>
      <c r="Z58" s="13"/>
      <c r="AC58" s="13"/>
      <c r="AF58" s="13"/>
      <c r="AH58" s="13"/>
      <c r="AI58" s="13"/>
      <c r="AK58" s="3"/>
      <c r="AL58" s="3"/>
      <c r="AM58" s="3"/>
      <c r="AN58" s="3"/>
    </row>
    <row r="59" spans="1:40" x14ac:dyDescent="0.2">
      <c r="A59" s="14" t="s">
        <v>8</v>
      </c>
      <c r="B59" s="15" t="s">
        <v>9</v>
      </c>
      <c r="C59" s="15" t="s">
        <v>10</v>
      </c>
      <c r="D59" s="16" t="s">
        <v>11</v>
      </c>
      <c r="E59" s="14" t="s">
        <v>8</v>
      </c>
      <c r="F59" s="15" t="s">
        <v>9</v>
      </c>
      <c r="G59" s="15" t="s">
        <v>10</v>
      </c>
      <c r="H59" s="16" t="s">
        <v>11</v>
      </c>
      <c r="I59" s="14" t="s">
        <v>8</v>
      </c>
      <c r="J59" s="78" t="s">
        <v>9</v>
      </c>
      <c r="K59" s="78" t="s">
        <v>10</v>
      </c>
      <c r="L59" s="16" t="s">
        <v>11</v>
      </c>
      <c r="M59" s="14" t="s">
        <v>12</v>
      </c>
      <c r="N59" s="15" t="s">
        <v>13</v>
      </c>
      <c r="O59" s="15" t="s">
        <v>14</v>
      </c>
      <c r="P59" s="16" t="s">
        <v>15</v>
      </c>
      <c r="Q59" s="14" t="s">
        <v>87</v>
      </c>
      <c r="R59" s="15" t="s">
        <v>11</v>
      </c>
      <c r="S59" s="22" t="s">
        <v>19</v>
      </c>
      <c r="T59" s="14" t="s">
        <v>88</v>
      </c>
      <c r="U59" s="15" t="s">
        <v>11</v>
      </c>
      <c r="V59" s="22" t="s">
        <v>19</v>
      </c>
      <c r="W59" s="158" t="s">
        <v>89</v>
      </c>
      <c r="X59" s="15" t="s">
        <v>11</v>
      </c>
      <c r="Y59" s="22" t="s">
        <v>19</v>
      </c>
      <c r="AK59" s="3"/>
      <c r="AL59" s="3"/>
      <c r="AM59" s="3"/>
      <c r="AN59" s="3"/>
    </row>
    <row r="60" spans="1:40" x14ac:dyDescent="0.2">
      <c r="A60" s="14" t="s">
        <v>26</v>
      </c>
      <c r="B60" s="78">
        <v>15.5</v>
      </c>
      <c r="C60" s="163">
        <f t="shared" ref="C60:C68" si="87">B60/15.5</f>
        <v>1</v>
      </c>
      <c r="D60" s="24">
        <f>2*3.14158*B60*(12*1185*0.004*0.2498^4*0.91/2440000000/0.004^3)^0.5</f>
        <v>3.4987287620023921</v>
      </c>
      <c r="E60" s="14" t="s">
        <v>26</v>
      </c>
      <c r="F60" s="15">
        <v>13.5</v>
      </c>
      <c r="G60" s="23">
        <f>F60/13.5</f>
        <v>1</v>
      </c>
      <c r="H60" s="24">
        <f>2*3.14158*F60*(12*1185*0.004*0.24935^4*0.91/2100000000/0.004^3)^0.5</f>
        <v>3.2728905970615108</v>
      </c>
      <c r="I60" s="14" t="s">
        <v>26</v>
      </c>
      <c r="J60" s="78">
        <v>14</v>
      </c>
      <c r="K60" s="163">
        <f>J60/14</f>
        <v>1</v>
      </c>
      <c r="L60" s="24">
        <f>2*3.14158*J60*(12*1185*0.004041*0.24964^4*0.91/2100000000/0.004041^3)^0.5</f>
        <v>3.3674914300928043</v>
      </c>
      <c r="M60" s="26">
        <f>AVERAGE(J60,F60)</f>
        <v>13.75</v>
      </c>
      <c r="N60" s="27">
        <f>AVERAGE(D60,H60,L60)</f>
        <v>3.3797035963855691</v>
      </c>
      <c r="O60" s="85">
        <f>STDEV(D60,H60,L60)</f>
        <v>0.11341327938181574</v>
      </c>
      <c r="P60" s="29">
        <f>O60/N60*100</f>
        <v>3.3557167410510735</v>
      </c>
      <c r="Q60" s="14">
        <v>13.3217</v>
      </c>
      <c r="R60" s="23">
        <f>2*3.14158*Q60*(12*1185*0.004*0.25^4*0.91/2100000000/0.004^3)^0.5</f>
        <v>3.2465241767619735</v>
      </c>
      <c r="S60" s="33">
        <f>100*(R60-N60)/N60</f>
        <v>-3.9405650769500791</v>
      </c>
      <c r="T60" s="200">
        <v>13.452199999999999</v>
      </c>
      <c r="U60" s="23">
        <f>2*3.14158*T60*(12*1185*0.004*0.25^4*0.91/2100000000/0.004^3)^0.5</f>
        <v>3.2783272803499117</v>
      </c>
      <c r="V60" s="33">
        <f>100*(U60-N60)/N60</f>
        <v>-2.9995623327464114</v>
      </c>
      <c r="W60" s="158">
        <v>13.398099999999999</v>
      </c>
      <c r="X60" s="15">
        <f>2*3.14158*W60*(12*1185*0.004*0.25^4*0.91/2100000000/0.004^3)^0.5</f>
        <v>3.2651430052226513</v>
      </c>
      <c r="Y60" s="33">
        <f>100*(X60-N60)/N60</f>
        <v>-3.3896638535235688</v>
      </c>
      <c r="AK60" s="3"/>
      <c r="AL60" s="3"/>
      <c r="AM60" s="3"/>
      <c r="AN60" s="3"/>
    </row>
    <row r="61" spans="1:40" x14ac:dyDescent="0.2">
      <c r="A61" s="14" t="s">
        <v>28</v>
      </c>
      <c r="B61" s="78">
        <v>96.5</v>
      </c>
      <c r="C61" s="163">
        <f t="shared" si="87"/>
        <v>6.225806451612903</v>
      </c>
      <c r="D61" s="24">
        <f t="shared" ref="D61:D67" si="88">2*3.14158*B61*(12*1185*0.004*0.2498^4*0.91/2440000000/0.004^3)^0.5</f>
        <v>21.782408098918122</v>
      </c>
      <c r="E61" s="14" t="s">
        <v>28</v>
      </c>
      <c r="F61" s="15">
        <v>83.75</v>
      </c>
      <c r="G61" s="23">
        <f t="shared" ref="G61:G67" si="89">F61/13.5</f>
        <v>6.2037037037037033</v>
      </c>
      <c r="H61" s="24">
        <f t="shared" ref="H61:H67" si="90">2*3.14158*F61*(12*1185*0.004*0.25^4*0.91/2100000000/0.004^3)^0.5</f>
        <v>20.410037743217107</v>
      </c>
      <c r="I61" s="14" t="s">
        <v>28</v>
      </c>
      <c r="J61" s="78">
        <v>87</v>
      </c>
      <c r="K61" s="163">
        <f t="shared" ref="K61:K67" si="91">J61/14</f>
        <v>6.2142857142857144</v>
      </c>
      <c r="L61" s="24">
        <f t="shared" ref="L61:L67" si="92">2*3.14158*J61*(12*1185*0.004041*0.24964^4*0.91/2100000000/0.004041^3)^0.5</f>
        <v>20.926553887005284</v>
      </c>
      <c r="M61" s="26">
        <f t="shared" ref="M61:M66" si="93">AVERAGE(J61,F61)</f>
        <v>85.375</v>
      </c>
      <c r="N61" s="27">
        <f t="shared" ref="N61:N66" si="94">AVERAGE(D61,H61,L61)</f>
        <v>21.039666576380171</v>
      </c>
      <c r="O61" s="85">
        <f t="shared" ref="O61:O66" si="95">STDEV(D61,H61,L61)</f>
        <v>0.69314209125903448</v>
      </c>
      <c r="P61" s="29">
        <f t="shared" ref="P61:P66" si="96">O61/N61*100</f>
        <v>3.2944537820631572</v>
      </c>
      <c r="Q61" s="14">
        <v>82.760300000000001</v>
      </c>
      <c r="R61" s="23">
        <f t="shared" ref="R61:R67" si="97">2*3.14158*Q61*(12*1185*0.004*0.25^4*0.91/2100000000/0.004^3)^0.5</f>
        <v>20.168845930029502</v>
      </c>
      <c r="S61" s="33">
        <f t="shared" ref="S61:S66" si="98">100*(R61-N61)/N61</f>
        <v>-4.138946989436997</v>
      </c>
      <c r="T61" s="200">
        <v>83.349649999999997</v>
      </c>
      <c r="U61" s="23">
        <f t="shared" ref="U61:U67" si="99">2*3.14158*T61*(12*1185*0.004*0.25^4*0.91/2100000000/0.004^3)^0.5</f>
        <v>20.312471670255945</v>
      </c>
      <c r="V61" s="33">
        <f t="shared" ref="V61:V65" si="100">100*(U61-N61)/N61</f>
        <v>-3.4563043263271029</v>
      </c>
      <c r="W61" s="158">
        <v>83.898399999999995</v>
      </c>
      <c r="X61" s="15">
        <f t="shared" ref="X61:X65" si="101">2*3.14158*W61*(12*1185*0.004*0.25^4*0.91/2100000000/0.004^3)^0.5</f>
        <v>20.446203111588364</v>
      </c>
      <c r="Y61" s="33">
        <f t="shared" ref="Y61:Y65" si="102">100*(X61-N61)/N61</f>
        <v>-2.8206885438861873</v>
      </c>
      <c r="AK61" s="3"/>
      <c r="AL61" s="3"/>
      <c r="AM61" s="3"/>
      <c r="AN61" s="3"/>
    </row>
    <row r="62" spans="1:40" x14ac:dyDescent="0.2">
      <c r="A62" s="14" t="s">
        <v>27</v>
      </c>
      <c r="B62" s="78">
        <v>148.5</v>
      </c>
      <c r="C62" s="163">
        <f t="shared" si="87"/>
        <v>9.5806451612903221</v>
      </c>
      <c r="D62" s="24">
        <f t="shared" si="88"/>
        <v>33.5200787843455</v>
      </c>
      <c r="E62" s="201" t="s">
        <v>27</v>
      </c>
      <c r="F62" s="202">
        <v>143</v>
      </c>
      <c r="G62" s="23">
        <f t="shared" si="89"/>
        <v>10.592592592592593</v>
      </c>
      <c r="H62" s="24">
        <f t="shared" si="90"/>
        <v>34.849377877970696</v>
      </c>
      <c r="I62" s="14" t="s">
        <v>27</v>
      </c>
      <c r="J62" s="78">
        <v>138</v>
      </c>
      <c r="K62" s="163">
        <f t="shared" si="91"/>
        <v>9.8571428571428577</v>
      </c>
      <c r="L62" s="24">
        <f t="shared" si="92"/>
        <v>33.193844096629071</v>
      </c>
      <c r="M62" s="26">
        <f t="shared" si="93"/>
        <v>140.5</v>
      </c>
      <c r="N62" s="27">
        <f t="shared" si="94"/>
        <v>33.854433586315089</v>
      </c>
      <c r="O62" s="85">
        <f t="shared" si="95"/>
        <v>0.87695089685279215</v>
      </c>
      <c r="P62" s="29">
        <f t="shared" si="96"/>
        <v>2.5903576103759725</v>
      </c>
      <c r="Q62" s="14">
        <v>144.614</v>
      </c>
      <c r="R62" s="23">
        <f t="shared" si="97"/>
        <v>35.242712814299686</v>
      </c>
      <c r="S62" s="35">
        <f t="shared" si="98"/>
        <v>4.1007309262612468</v>
      </c>
      <c r="T62" s="200">
        <v>121.5523</v>
      </c>
      <c r="U62" s="23">
        <f t="shared" si="99"/>
        <v>29.622531710744457</v>
      </c>
      <c r="V62" s="35">
        <f t="shared" si="100"/>
        <v>-12.500288521386707</v>
      </c>
      <c r="W62" s="158">
        <v>630.22799999999995</v>
      </c>
      <c r="X62" s="15">
        <f t="shared" si="101"/>
        <v>153.58778826068331</v>
      </c>
      <c r="Y62" s="35">
        <f t="shared" si="102"/>
        <v>353.67112070889237</v>
      </c>
      <c r="AK62" s="3"/>
      <c r="AL62" s="3"/>
      <c r="AM62" s="3"/>
      <c r="AN62" s="3"/>
    </row>
    <row r="63" spans="1:40" x14ac:dyDescent="0.2">
      <c r="A63" s="14" t="s">
        <v>30</v>
      </c>
      <c r="B63" s="78">
        <v>259</v>
      </c>
      <c r="C63" s="163">
        <f t="shared" si="87"/>
        <v>16.70967741935484</v>
      </c>
      <c r="D63" s="24">
        <f t="shared" si="88"/>
        <v>58.462628990878684</v>
      </c>
      <c r="E63" s="14" t="s">
        <v>30</v>
      </c>
      <c r="F63" s="15">
        <v>226.5</v>
      </c>
      <c r="G63" s="23">
        <f t="shared" si="89"/>
        <v>16.777777777777779</v>
      </c>
      <c r="H63" s="24">
        <f t="shared" si="90"/>
        <v>55.198490135387154</v>
      </c>
      <c r="I63" s="14" t="s">
        <v>30</v>
      </c>
      <c r="J63" s="78">
        <v>234.5</v>
      </c>
      <c r="K63" s="163">
        <f t="shared" si="91"/>
        <v>16.75</v>
      </c>
      <c r="L63" s="24">
        <f t="shared" si="92"/>
        <v>56.405481454054481</v>
      </c>
      <c r="M63" s="26">
        <f t="shared" si="93"/>
        <v>230.5</v>
      </c>
      <c r="N63" s="27">
        <f t="shared" si="94"/>
        <v>56.688866860106771</v>
      </c>
      <c r="O63" s="85">
        <f t="shared" si="95"/>
        <v>1.6504184570147526</v>
      </c>
      <c r="P63" s="29">
        <f t="shared" si="96"/>
        <v>2.9113625803944041</v>
      </c>
      <c r="Q63" s="14">
        <v>225.15100000000001</v>
      </c>
      <c r="R63" s="23">
        <f t="shared" si="97"/>
        <v>54.869736214006856</v>
      </c>
      <c r="S63" s="33">
        <f t="shared" si="98"/>
        <v>-3.2089733784749144</v>
      </c>
      <c r="T63" s="200">
        <v>225.0061</v>
      </c>
      <c r="U63" s="23">
        <f t="shared" si="99"/>
        <v>54.834423802436802</v>
      </c>
      <c r="V63" s="33">
        <f t="shared" si="100"/>
        <v>-3.2712649950231789</v>
      </c>
      <c r="W63" s="158">
        <v>234.62</v>
      </c>
      <c r="X63" s="15">
        <f t="shared" si="101"/>
        <v>57.177349914192206</v>
      </c>
      <c r="Y63" s="33">
        <f t="shared" si="102"/>
        <v>0.86169133578006252</v>
      </c>
      <c r="AK63" s="3"/>
      <c r="AL63" s="3"/>
      <c r="AM63" s="3"/>
      <c r="AN63" s="3"/>
    </row>
    <row r="64" spans="1:40" x14ac:dyDescent="0.2">
      <c r="A64" s="14" t="s">
        <v>29</v>
      </c>
      <c r="B64" s="78">
        <v>359</v>
      </c>
      <c r="C64" s="163">
        <f t="shared" si="87"/>
        <v>23.161290322580644</v>
      </c>
      <c r="D64" s="24">
        <f t="shared" si="88"/>
        <v>81.035072616700575</v>
      </c>
      <c r="E64" s="14" t="s">
        <v>29</v>
      </c>
      <c r="F64" s="15">
        <v>340.5</v>
      </c>
      <c r="G64" s="23">
        <f t="shared" si="89"/>
        <v>25.222222222222221</v>
      </c>
      <c r="H64" s="24">
        <f t="shared" si="90"/>
        <v>82.980511660482662</v>
      </c>
      <c r="I64" s="14" t="s">
        <v>29</v>
      </c>
      <c r="J64" s="78">
        <v>324.5</v>
      </c>
      <c r="K64" s="163">
        <f t="shared" si="91"/>
        <v>23.178571428571427</v>
      </c>
      <c r="L64" s="24">
        <f t="shared" si="92"/>
        <v>78.053640647508217</v>
      </c>
      <c r="M64" s="26">
        <f t="shared" si="93"/>
        <v>332.5</v>
      </c>
      <c r="N64" s="27">
        <f t="shared" si="94"/>
        <v>80.689741641563813</v>
      </c>
      <c r="O64" s="85">
        <f t="shared" si="95"/>
        <v>2.4815226387066542</v>
      </c>
      <c r="P64" s="29">
        <f t="shared" si="96"/>
        <v>3.0753880087136203</v>
      </c>
      <c r="Q64" s="14">
        <v>335.75799999999998</v>
      </c>
      <c r="R64" s="23">
        <f t="shared" si="97"/>
        <v>81.824877045815981</v>
      </c>
      <c r="S64" s="33">
        <f t="shared" si="98"/>
        <v>1.4067902327592186</v>
      </c>
      <c r="T64" s="200">
        <v>334.05439999999999</v>
      </c>
      <c r="U64" s="23">
        <f t="shared" si="99"/>
        <v>81.409706415376036</v>
      </c>
      <c r="V64" s="33">
        <f t="shared" si="100"/>
        <v>0.89226307974862051</v>
      </c>
      <c r="W64" s="158">
        <v>1890.84</v>
      </c>
      <c r="X64" s="15">
        <f t="shared" si="101"/>
        <v>460.80138228518956</v>
      </c>
      <c r="Y64" s="35">
        <f t="shared" si="102"/>
        <v>471.07802418322251</v>
      </c>
      <c r="AK64" s="3"/>
      <c r="AL64" s="3"/>
      <c r="AM64" s="3"/>
      <c r="AN64" s="3"/>
    </row>
    <row r="65" spans="1:45" x14ac:dyDescent="0.2">
      <c r="A65" s="14" t="s">
        <v>61</v>
      </c>
      <c r="B65" s="78">
        <v>415.5</v>
      </c>
      <c r="C65" s="163">
        <f t="shared" si="87"/>
        <v>26.806451612903224</v>
      </c>
      <c r="D65" s="24">
        <f t="shared" si="88"/>
        <v>93.788503265289933</v>
      </c>
      <c r="E65" s="14" t="s">
        <v>61</v>
      </c>
      <c r="F65" s="15">
        <v>375.8</v>
      </c>
      <c r="G65" s="23">
        <f t="shared" si="89"/>
        <v>27.837037037037039</v>
      </c>
      <c r="H65" s="24">
        <f t="shared" si="90"/>
        <v>91.583190255534177</v>
      </c>
      <c r="I65" s="14" t="s">
        <v>61</v>
      </c>
      <c r="J65" s="78">
        <v>366</v>
      </c>
      <c r="K65" s="163">
        <f t="shared" si="91"/>
        <v>26.142857142857142</v>
      </c>
      <c r="L65" s="24">
        <f t="shared" si="92"/>
        <v>88.035847386711893</v>
      </c>
      <c r="M65" s="26">
        <f t="shared" si="93"/>
        <v>370.9</v>
      </c>
      <c r="N65" s="27">
        <f t="shared" si="94"/>
        <v>91.135846969178672</v>
      </c>
      <c r="O65" s="85">
        <f t="shared" si="95"/>
        <v>2.9023007125761673</v>
      </c>
      <c r="P65" s="29">
        <f t="shared" si="96"/>
        <v>3.1845874143877761</v>
      </c>
      <c r="Q65" s="14">
        <v>376.45</v>
      </c>
      <c r="R65" s="23">
        <f>2*3.14158*Q65*(12*1185*0.004*0.25^4*0.91/2100000000/0.004^3)^0.5</f>
        <v>91.741596518615864</v>
      </c>
      <c r="S65" s="33">
        <f t="shared" si="98"/>
        <v>0.66466661536821081</v>
      </c>
      <c r="T65" s="200">
        <v>371.70209999999997</v>
      </c>
      <c r="U65" s="23">
        <f>2*3.14158*T65*(12*1185*0.004*0.25^4*0.91/2100000000/0.004^3)^0.5</f>
        <v>90.584524062484263</v>
      </c>
      <c r="V65" s="33">
        <f t="shared" si="100"/>
        <v>-0.60494626980408894</v>
      </c>
      <c r="W65" s="158">
        <v>3151.27</v>
      </c>
      <c r="X65" s="15">
        <f t="shared" si="101"/>
        <v>767.97062255603294</v>
      </c>
      <c r="Y65" s="35">
        <f t="shared" si="102"/>
        <v>742.66580944351529</v>
      </c>
      <c r="AK65" s="3"/>
      <c r="AL65" s="3"/>
      <c r="AM65" s="3"/>
      <c r="AN65" s="3"/>
    </row>
    <row r="66" spans="1:45" ht="15.75" thickBot="1" x14ac:dyDescent="0.25">
      <c r="A66" s="14" t="s">
        <v>95</v>
      </c>
      <c r="B66" s="78">
        <v>677</v>
      </c>
      <c r="C66" s="163">
        <f t="shared" si="87"/>
        <v>43.677419354838712</v>
      </c>
      <c r="D66" s="24">
        <f t="shared" si="88"/>
        <v>152.81544334681416</v>
      </c>
      <c r="E66" s="14" t="s">
        <v>95</v>
      </c>
      <c r="F66" s="15">
        <v>575</v>
      </c>
      <c r="G66" s="23">
        <f t="shared" si="89"/>
        <v>42.592592592592595</v>
      </c>
      <c r="H66" s="24">
        <f t="shared" si="90"/>
        <v>140.12861734149058</v>
      </c>
      <c r="I66" s="14" t="s">
        <v>95</v>
      </c>
      <c r="J66" s="78">
        <v>607.5</v>
      </c>
      <c r="K66" s="163">
        <f t="shared" si="91"/>
        <v>43.392857142857146</v>
      </c>
      <c r="L66" s="24">
        <f t="shared" si="92"/>
        <v>146.12507455581277</v>
      </c>
      <c r="M66" s="171">
        <f t="shared" si="93"/>
        <v>591.25</v>
      </c>
      <c r="N66" s="172">
        <f t="shared" si="94"/>
        <v>146.35637841470583</v>
      </c>
      <c r="O66" s="203">
        <f t="shared" si="95"/>
        <v>6.3465750313608353</v>
      </c>
      <c r="P66" s="174">
        <f t="shared" si="96"/>
        <v>4.3363843107524813</v>
      </c>
      <c r="Q66" s="14">
        <v>569.45600000000002</v>
      </c>
      <c r="R66" s="23">
        <f t="shared" si="97"/>
        <v>138.77753376837541</v>
      </c>
      <c r="S66" s="33">
        <f t="shared" si="98"/>
        <v>-5.1783494019341658</v>
      </c>
      <c r="T66" s="200">
        <v>563.99959999999999</v>
      </c>
      <c r="U66" s="23">
        <f t="shared" si="99"/>
        <v>137.44779848548475</v>
      </c>
      <c r="V66" s="33" t="s">
        <v>96</v>
      </c>
      <c r="W66" s="158" t="s">
        <v>60</v>
      </c>
      <c r="X66" s="15" t="s">
        <v>60</v>
      </c>
      <c r="Y66" s="204" t="s">
        <v>60</v>
      </c>
      <c r="AK66" s="3"/>
      <c r="AL66" s="3"/>
      <c r="AM66" s="3"/>
      <c r="AN66" s="3"/>
    </row>
    <row r="67" spans="1:45" ht="15.75" thickBot="1" x14ac:dyDescent="0.25">
      <c r="A67" s="14" t="s">
        <v>31</v>
      </c>
      <c r="B67" s="205">
        <v>726</v>
      </c>
      <c r="C67" s="163">
        <f t="shared" si="87"/>
        <v>46.838709677419352</v>
      </c>
      <c r="D67" s="24">
        <f t="shared" si="88"/>
        <v>163.8759407234669</v>
      </c>
      <c r="E67" s="14" t="s">
        <v>31</v>
      </c>
      <c r="F67" s="58">
        <v>619</v>
      </c>
      <c r="G67" s="23">
        <f t="shared" si="89"/>
        <v>45.851851851851855</v>
      </c>
      <c r="H67" s="24">
        <f t="shared" si="90"/>
        <v>150.85150284240461</v>
      </c>
      <c r="I67" s="61" t="s">
        <v>31</v>
      </c>
      <c r="J67" s="206">
        <v>642</v>
      </c>
      <c r="K67" s="207">
        <f t="shared" si="91"/>
        <v>45.857142857142854</v>
      </c>
      <c r="L67" s="208">
        <f t="shared" si="92"/>
        <v>154.42353557997004</v>
      </c>
      <c r="Q67" s="61">
        <v>677.72400000000005</v>
      </c>
      <c r="R67" s="182">
        <f t="shared" si="97"/>
        <v>165.16265575503368</v>
      </c>
      <c r="S67" s="183" t="s">
        <v>96</v>
      </c>
      <c r="T67" s="209">
        <v>677.9357</v>
      </c>
      <c r="U67" s="182">
        <f t="shared" si="99"/>
        <v>165.21424745640965</v>
      </c>
      <c r="V67" s="183" t="s">
        <v>96</v>
      </c>
      <c r="W67" s="210" t="s">
        <v>60</v>
      </c>
      <c r="X67" s="62" t="s">
        <v>60</v>
      </c>
      <c r="Y67" s="211" t="s">
        <v>60</v>
      </c>
      <c r="AK67" s="3"/>
      <c r="AL67" s="3"/>
      <c r="AM67" s="3"/>
      <c r="AN67" s="3"/>
    </row>
    <row r="68" spans="1:45" ht="15.75" hidden="1" thickBot="1" x14ac:dyDescent="0.25">
      <c r="A68" s="168" t="s">
        <v>97</v>
      </c>
      <c r="B68" s="169">
        <v>774.5</v>
      </c>
      <c r="C68" s="15">
        <f t="shared" si="87"/>
        <v>49.967741935483872</v>
      </c>
      <c r="D68" s="212"/>
      <c r="E68" s="168" t="s">
        <v>97</v>
      </c>
      <c r="F68" s="169"/>
      <c r="G68" s="169"/>
      <c r="H68" s="212"/>
      <c r="I68" s="213" t="s">
        <v>97</v>
      </c>
      <c r="J68" s="214"/>
      <c r="K68" s="214"/>
      <c r="L68" s="215"/>
      <c r="M68" s="216">
        <v>688.69899999999996</v>
      </c>
      <c r="N68" s="217">
        <f t="shared" ref="N68" si="103">M68/13.3217</f>
        <v>51.697531095881153</v>
      </c>
      <c r="O68" s="218">
        <f>100*(N68-C68)/C68</f>
        <v>3.4618117477285812</v>
      </c>
      <c r="P68" s="219">
        <v>1287.3399999999999</v>
      </c>
      <c r="Q68" s="217">
        <f t="shared" ref="Q68" si="104">P68/13.4299</f>
        <v>95.856261029493879</v>
      </c>
      <c r="R68" s="218" t="s">
        <v>96</v>
      </c>
      <c r="S68" s="217" t="s">
        <v>60</v>
      </c>
      <c r="T68" s="217" t="s">
        <v>60</v>
      </c>
      <c r="U68" s="220" t="s">
        <v>60</v>
      </c>
      <c r="AG68" s="3"/>
      <c r="AH68" s="3"/>
      <c r="AI68" s="3"/>
      <c r="AJ68" s="3"/>
      <c r="AK68" s="3"/>
      <c r="AL68" s="3"/>
      <c r="AM68" s="3"/>
      <c r="AN68" s="3"/>
    </row>
    <row r="69" spans="1:45" x14ac:dyDescent="0.2">
      <c r="A69" s="52" t="s">
        <v>33</v>
      </c>
      <c r="B69" s="53" t="s">
        <v>34</v>
      </c>
      <c r="C69" s="54" t="s">
        <v>35</v>
      </c>
      <c r="D69" s="55" t="s">
        <v>36</v>
      </c>
      <c r="E69" s="52" t="s">
        <v>33</v>
      </c>
      <c r="F69" s="53" t="s">
        <v>34</v>
      </c>
      <c r="G69" s="54" t="s">
        <v>35</v>
      </c>
      <c r="H69" s="55" t="s">
        <v>36</v>
      </c>
      <c r="I69" s="52" t="s">
        <v>33</v>
      </c>
      <c r="J69" s="53" t="s">
        <v>34</v>
      </c>
      <c r="K69" s="54" t="s">
        <v>35</v>
      </c>
      <c r="L69" s="55" t="s">
        <v>36</v>
      </c>
      <c r="O69" s="57"/>
      <c r="P69" s="221"/>
      <c r="R69" s="57"/>
      <c r="AG69" s="3"/>
      <c r="AH69" s="3"/>
      <c r="AI69" s="3"/>
      <c r="AJ69" s="3"/>
      <c r="AK69" s="3"/>
      <c r="AL69" s="3"/>
      <c r="AM69" s="3"/>
      <c r="AN69" s="3"/>
    </row>
    <row r="70" spans="1:45" x14ac:dyDescent="0.2">
      <c r="A70" s="14" t="s">
        <v>37</v>
      </c>
      <c r="B70" s="15">
        <v>800</v>
      </c>
      <c r="C70" s="58">
        <v>0</v>
      </c>
      <c r="D70" s="59">
        <v>0.5</v>
      </c>
      <c r="E70" s="14" t="s">
        <v>37</v>
      </c>
      <c r="F70" s="15">
        <v>800</v>
      </c>
      <c r="G70" s="58">
        <v>0</v>
      </c>
      <c r="H70" s="59">
        <v>0.5</v>
      </c>
      <c r="I70" s="14" t="s">
        <v>37</v>
      </c>
      <c r="J70" s="15">
        <v>800</v>
      </c>
      <c r="K70" s="58">
        <v>0</v>
      </c>
      <c r="L70" s="59">
        <v>0.5</v>
      </c>
      <c r="O70" s="57"/>
      <c r="P70" s="221"/>
      <c r="R70" s="57"/>
      <c r="AG70" s="3"/>
      <c r="AH70" s="3"/>
      <c r="AI70" s="3"/>
      <c r="AJ70" s="3"/>
      <c r="AK70" s="3"/>
      <c r="AL70" s="3"/>
      <c r="AM70" s="3"/>
      <c r="AN70" s="3"/>
    </row>
    <row r="71" spans="1:45" x14ac:dyDescent="0.2">
      <c r="A71" s="14"/>
      <c r="B71" s="60" t="s">
        <v>38</v>
      </c>
      <c r="C71" s="58" t="s">
        <v>39</v>
      </c>
      <c r="D71" s="59" t="s">
        <v>40</v>
      </c>
      <c r="E71" s="14"/>
      <c r="F71" s="60" t="s">
        <v>38</v>
      </c>
      <c r="G71" s="58" t="s">
        <v>39</v>
      </c>
      <c r="H71" s="59" t="s">
        <v>40</v>
      </c>
      <c r="I71" s="14"/>
      <c r="J71" s="60" t="s">
        <v>38</v>
      </c>
      <c r="K71" s="58" t="s">
        <v>39</v>
      </c>
      <c r="L71" s="59" t="s">
        <v>40</v>
      </c>
      <c r="O71" s="57"/>
      <c r="P71" s="221"/>
      <c r="R71" s="57"/>
      <c r="AG71" s="3"/>
      <c r="AH71" s="3"/>
      <c r="AI71" s="3"/>
      <c r="AJ71" s="3"/>
      <c r="AK71" s="3"/>
      <c r="AL71" s="3"/>
      <c r="AM71" s="3"/>
      <c r="AN71" s="3"/>
    </row>
    <row r="72" spans="1:45" ht="15.75" thickBot="1" x14ac:dyDescent="0.25">
      <c r="A72" s="61" t="s">
        <v>41</v>
      </c>
      <c r="B72" s="62">
        <v>9</v>
      </c>
      <c r="C72" s="63">
        <v>5</v>
      </c>
      <c r="D72" s="64" t="s">
        <v>43</v>
      </c>
      <c r="E72" s="61" t="s">
        <v>41</v>
      </c>
      <c r="F72" s="62">
        <v>9</v>
      </c>
      <c r="G72" s="63">
        <v>5</v>
      </c>
      <c r="H72" s="64" t="s">
        <v>43</v>
      </c>
      <c r="I72" s="61" t="s">
        <v>41</v>
      </c>
      <c r="J72" s="62">
        <v>9</v>
      </c>
      <c r="K72" s="63">
        <v>5</v>
      </c>
      <c r="L72" s="64" t="s">
        <v>43</v>
      </c>
      <c r="O72" s="57"/>
      <c r="P72" s="221"/>
      <c r="R72" s="57"/>
      <c r="AG72" s="3"/>
      <c r="AH72" s="3"/>
      <c r="AI72" s="3"/>
      <c r="AJ72" s="3"/>
      <c r="AK72" s="3"/>
      <c r="AL72" s="3"/>
      <c r="AM72" s="3"/>
      <c r="AN72" s="3"/>
    </row>
    <row r="73" spans="1:45" x14ac:dyDescent="0.2">
      <c r="C73" s="56"/>
      <c r="D73" s="56"/>
      <c r="G73" s="56"/>
      <c r="H73" s="56"/>
      <c r="K73" s="56"/>
      <c r="L73" s="56"/>
      <c r="O73" s="57"/>
      <c r="P73" s="221"/>
      <c r="R73" s="57"/>
      <c r="AG73" s="3"/>
      <c r="AH73" s="3"/>
      <c r="AI73" s="3"/>
      <c r="AJ73" s="3"/>
      <c r="AK73" s="3"/>
      <c r="AL73" s="3"/>
      <c r="AM73" s="3"/>
      <c r="AN73" s="3"/>
    </row>
    <row r="74" spans="1:45" ht="15.75" thickBot="1" x14ac:dyDescent="0.25">
      <c r="C74" s="56"/>
      <c r="D74" s="56"/>
      <c r="G74" s="56"/>
      <c r="H74" s="56"/>
      <c r="K74" s="56"/>
      <c r="L74" s="56"/>
      <c r="O74" s="57"/>
      <c r="P74" s="221"/>
      <c r="R74" s="57"/>
      <c r="AG74" s="3"/>
      <c r="AH74" s="3"/>
      <c r="AI74" s="3"/>
      <c r="AJ74" s="3"/>
      <c r="AK74" s="3"/>
      <c r="AL74" s="3"/>
      <c r="AM74" s="3"/>
      <c r="AN74" s="3"/>
    </row>
    <row r="75" spans="1:45" ht="23.25" customHeight="1" x14ac:dyDescent="0.2">
      <c r="A75" s="65" t="s">
        <v>98</v>
      </c>
      <c r="B75" s="66" t="s">
        <v>71</v>
      </c>
      <c r="C75" s="66" t="s">
        <v>99</v>
      </c>
      <c r="D75" s="77"/>
      <c r="E75" s="5" t="s">
        <v>100</v>
      </c>
      <c r="F75" s="5" t="s">
        <v>71</v>
      </c>
      <c r="G75" s="5" t="s">
        <v>99</v>
      </c>
      <c r="H75" s="153"/>
      <c r="I75" s="5" t="s">
        <v>101</v>
      </c>
      <c r="J75" s="5" t="s">
        <v>71</v>
      </c>
      <c r="K75" s="5" t="s">
        <v>99</v>
      </c>
      <c r="L75" s="153"/>
      <c r="M75" s="8" t="s">
        <v>6</v>
      </c>
      <c r="N75" s="9"/>
      <c r="O75" s="10"/>
      <c r="P75" s="11"/>
      <c r="Q75" s="222" t="s">
        <v>102</v>
      </c>
      <c r="R75" s="73" t="s">
        <v>75</v>
      </c>
      <c r="S75" s="149" t="s">
        <v>49</v>
      </c>
      <c r="T75" s="149"/>
      <c r="U75" s="149"/>
      <c r="V75" s="149"/>
      <c r="W75" s="150"/>
      <c r="X75" s="150"/>
      <c r="Y75" s="76"/>
      <c r="Z75" s="152"/>
      <c r="AA75" s="5" t="s">
        <v>7</v>
      </c>
      <c r="AB75" s="6"/>
      <c r="AC75" s="6"/>
      <c r="AD75" s="65"/>
      <c r="AE75" s="68"/>
      <c r="AF75" s="69"/>
      <c r="AG75" s="4"/>
      <c r="AH75" s="6"/>
      <c r="AI75" s="7"/>
      <c r="AJ75" s="13"/>
      <c r="AM75" s="13"/>
      <c r="AO75" s="2"/>
      <c r="AP75" s="2"/>
      <c r="AQ75" s="13"/>
      <c r="AR75" s="2"/>
      <c r="AS75" s="2"/>
    </row>
    <row r="76" spans="1:45" x14ac:dyDescent="0.2">
      <c r="A76" s="14" t="s">
        <v>8</v>
      </c>
      <c r="B76" s="15" t="s">
        <v>9</v>
      </c>
      <c r="C76" s="15" t="s">
        <v>10</v>
      </c>
      <c r="D76" s="16" t="s">
        <v>11</v>
      </c>
      <c r="E76" s="158" t="s">
        <v>8</v>
      </c>
      <c r="F76" s="15" t="s">
        <v>9</v>
      </c>
      <c r="G76" s="15" t="s">
        <v>10</v>
      </c>
      <c r="H76" s="16" t="s">
        <v>11</v>
      </c>
      <c r="I76" s="158" t="s">
        <v>8</v>
      </c>
      <c r="J76" s="15" t="s">
        <v>9</v>
      </c>
      <c r="K76" s="15" t="s">
        <v>10</v>
      </c>
      <c r="L76" s="16" t="s">
        <v>11</v>
      </c>
      <c r="M76" s="14" t="s">
        <v>12</v>
      </c>
      <c r="N76" s="15" t="s">
        <v>13</v>
      </c>
      <c r="O76" s="15" t="s">
        <v>14</v>
      </c>
      <c r="P76" s="16" t="s">
        <v>15</v>
      </c>
      <c r="Q76" s="223" t="s">
        <v>8</v>
      </c>
      <c r="R76" s="86" t="s">
        <v>50</v>
      </c>
      <c r="S76" s="86" t="s">
        <v>51</v>
      </c>
      <c r="T76" s="86" t="s">
        <v>52</v>
      </c>
      <c r="U76" s="86" t="s">
        <v>53</v>
      </c>
      <c r="V76" s="86" t="s">
        <v>54</v>
      </c>
      <c r="W76" s="86" t="s">
        <v>10</v>
      </c>
      <c r="X76" s="224" t="s">
        <v>11</v>
      </c>
      <c r="Y76" s="83" t="s">
        <v>55</v>
      </c>
      <c r="Z76" s="159" t="s">
        <v>56</v>
      </c>
      <c r="AA76" s="158" t="s">
        <v>87</v>
      </c>
      <c r="AB76" s="15" t="s">
        <v>11</v>
      </c>
      <c r="AC76" s="225" t="s">
        <v>19</v>
      </c>
      <c r="AD76" s="14" t="s">
        <v>88</v>
      </c>
      <c r="AE76" s="15" t="s">
        <v>10</v>
      </c>
      <c r="AF76" s="225" t="s">
        <v>19</v>
      </c>
      <c r="AG76" s="14" t="s">
        <v>89</v>
      </c>
      <c r="AH76" s="15" t="s">
        <v>10</v>
      </c>
      <c r="AI76" s="22" t="s">
        <v>19</v>
      </c>
      <c r="AO76" s="2"/>
      <c r="AP76" s="2"/>
      <c r="AQ76" s="2"/>
      <c r="AR76" s="2"/>
      <c r="AS76" s="2"/>
    </row>
    <row r="77" spans="1:45" x14ac:dyDescent="0.2">
      <c r="A77" s="14" t="s">
        <v>26</v>
      </c>
      <c r="B77" s="15">
        <v>11.5</v>
      </c>
      <c r="C77" s="23">
        <f>B77/11.5</f>
        <v>1</v>
      </c>
      <c r="D77" s="24">
        <f>2*3.14158*B77*(12*1180*0.003978*0.24974^4*0.91/2100000000/0.003978^3)^0.5</f>
        <v>2.8062739893578965</v>
      </c>
      <c r="E77" s="158" t="s">
        <v>26</v>
      </c>
      <c r="F77" s="15">
        <v>12</v>
      </c>
      <c r="G77" s="23">
        <f>F77/12</f>
        <v>1</v>
      </c>
      <c r="H77" s="24">
        <f>2*3.14158*F77*(12*1180*0.00408*0.24871^4*0.91/2100000000/0.00408^3)^0.5</f>
        <v>2.8315769773089272</v>
      </c>
      <c r="I77" s="226" t="s">
        <v>26</v>
      </c>
      <c r="J77" s="78">
        <v>11.75</v>
      </c>
      <c r="K77" s="163">
        <f>J77/11.75</f>
        <v>1</v>
      </c>
      <c r="L77" s="24">
        <f>2*3.14158*J77*(12*1180*0.003974*0.24964^4*0.91/2100000000/0.003974^3)^0.5</f>
        <v>2.8678679217799172</v>
      </c>
      <c r="M77" s="26">
        <f>AVERAGE(B77,F77,J77)</f>
        <v>11.75</v>
      </c>
      <c r="N77" s="27">
        <f>AVERAGE(D77,H77,L77)</f>
        <v>2.8352396294822468</v>
      </c>
      <c r="O77" s="28">
        <f>STDEV(D77,H77,L77)</f>
        <v>3.0959883615885198E-2</v>
      </c>
      <c r="P77" s="29">
        <f>O77/N77*100</f>
        <v>1.0919670878591272</v>
      </c>
      <c r="Q77" s="223" t="s">
        <v>103</v>
      </c>
      <c r="R77" s="86">
        <v>38</v>
      </c>
      <c r="S77" s="86">
        <v>38</v>
      </c>
      <c r="T77" s="86">
        <v>38</v>
      </c>
      <c r="U77" s="86">
        <f t="shared" ref="U77:U86" si="105">AVERAGE(R77:T77)</f>
        <v>38</v>
      </c>
      <c r="V77" s="86">
        <f t="shared" ref="V77:V86" si="106">STDEV(R77:T77)</f>
        <v>0</v>
      </c>
      <c r="W77" s="86">
        <f>R77/38</f>
        <v>1</v>
      </c>
      <c r="X77" s="88">
        <f>2*3.14158*U77*(12*2714.177*0.004*(0.05*5)^4/62000000000/0.004^3)^0.5</f>
        <v>2.703930988134422</v>
      </c>
      <c r="Y77" s="89">
        <f>N77</f>
        <v>2.8352396294822468</v>
      </c>
      <c r="Z77" s="227">
        <f>(Y77-X77)/X77*100</f>
        <v>4.8562127481819077</v>
      </c>
      <c r="AA77" s="158">
        <v>11.367699999999999</v>
      </c>
      <c r="AB77" s="85">
        <f>2*3.14158*AA77*(12*1185*0.004*0.25^4*0.91/2100000000/0.004^3)^0.5</f>
        <v>2.7703305797441082</v>
      </c>
      <c r="AC77" s="228">
        <f>100*(AB77-N77)/N77</f>
        <v>-2.2893673276566</v>
      </c>
      <c r="AD77" s="194">
        <v>11.416169999999999</v>
      </c>
      <c r="AE77" s="85">
        <f>2*3.14158*AD77*(12*1185*0.004*0.25^4*0.91/2100000000/0.004^3)^0.5</f>
        <v>2.7821428129311374</v>
      </c>
      <c r="AF77" s="228">
        <f>100*(AE77-N77)/N77</f>
        <v>-1.8727452875228618</v>
      </c>
      <c r="AG77" s="14">
        <v>11.495200000000001</v>
      </c>
      <c r="AH77" s="85">
        <f>2*3.14158*AG77*(12*1185*0.004*0.25^4*0.91/2100000000/0.004^3)^0.5</f>
        <v>2.8014025775024387</v>
      </c>
      <c r="AI77" s="33">
        <f>100*(AH77-N77)/N77</f>
        <v>-1.1934459305645087</v>
      </c>
      <c r="AO77" s="2"/>
      <c r="AP77" s="2"/>
      <c r="AQ77" s="2"/>
      <c r="AR77" s="2"/>
      <c r="AS77" s="2"/>
    </row>
    <row r="78" spans="1:45" x14ac:dyDescent="0.2">
      <c r="A78" s="14" t="s">
        <v>28</v>
      </c>
      <c r="B78" s="15">
        <v>68.75</v>
      </c>
      <c r="C78" s="23">
        <f t="shared" ref="C78:C87" si="107">B78/11.5</f>
        <v>5.9782608695652177</v>
      </c>
      <c r="D78" s="24">
        <f t="shared" ref="D78:D87" si="108">2*3.14158*B78*(12*1180*0.003978*0.24974^4*0.91/2100000000/0.003978^3)^0.5</f>
        <v>16.776637979856989</v>
      </c>
      <c r="E78" s="158" t="s">
        <v>28</v>
      </c>
      <c r="F78" s="15">
        <v>70.75</v>
      </c>
      <c r="G78" s="23">
        <f t="shared" ref="G78:G84" si="109">F78/12</f>
        <v>5.895833333333333</v>
      </c>
      <c r="H78" s="24">
        <f t="shared" ref="H78:H87" si="110">2*3.14158*F78*(12*1180*0.00408*0.24871^4*0.91/2100000000/0.00408^3)^0.5</f>
        <v>16.694505928717216</v>
      </c>
      <c r="I78" s="226" t="s">
        <v>28</v>
      </c>
      <c r="J78" s="78">
        <v>70.25</v>
      </c>
      <c r="K78" s="163">
        <f t="shared" ref="K78:K87" si="111">J78/11.75</f>
        <v>5.9787234042553195</v>
      </c>
      <c r="L78" s="24">
        <f t="shared" ref="L78:L87" si="112">2*3.14158*J78*(12*1180*0.003974*0.24964^4*0.91/2100000000/0.003974^3)^0.5</f>
        <v>17.146189064258653</v>
      </c>
      <c r="M78" s="26">
        <f t="shared" ref="M78:M87" si="113">AVERAGE(B78,F78,J78)</f>
        <v>69.916666666666671</v>
      </c>
      <c r="N78" s="27">
        <f t="shared" ref="N78:N87" si="114">AVERAGE(D78,H78,L78)</f>
        <v>16.87244432427762</v>
      </c>
      <c r="O78" s="28">
        <f t="shared" ref="O78:O83" si="115">STDEV(D78,H78,L78)</f>
        <v>0.24060040618537892</v>
      </c>
      <c r="P78" s="29">
        <f t="shared" ref="P78:P84" si="116">O78/N78*100</f>
        <v>1.4259961482829195</v>
      </c>
      <c r="Q78" s="223" t="s">
        <v>104</v>
      </c>
      <c r="R78" s="86">
        <v>226</v>
      </c>
      <c r="S78" s="86">
        <v>226</v>
      </c>
      <c r="T78" s="86">
        <v>226</v>
      </c>
      <c r="U78" s="86">
        <f t="shared" si="105"/>
        <v>226</v>
      </c>
      <c r="V78" s="86">
        <f t="shared" si="106"/>
        <v>0</v>
      </c>
      <c r="W78" s="86">
        <f t="shared" ref="W78:W86" si="117">R78/38</f>
        <v>5.9473684210526319</v>
      </c>
      <c r="X78" s="88">
        <f t="shared" ref="X78:X86" si="118">2*3.14158*U78*(12*2714.177*0.004*(0.05*5)^4/62000000000/0.004^3)^0.5</f>
        <v>16.081273771536299</v>
      </c>
      <c r="Y78" s="89">
        <f t="shared" ref="Y78:Y86" si="119">N78</f>
        <v>16.87244432427762</v>
      </c>
      <c r="Z78" s="227">
        <f t="shared" ref="Z78:Z86" si="120">(Y78-X78)/X78*100</f>
        <v>4.9198251580150618</v>
      </c>
      <c r="AA78" s="158">
        <v>67.752499999999998</v>
      </c>
      <c r="AB78" s="85">
        <f t="shared" ref="AB78:AB81" si="121">2*3.14158*AA78*(12*1185*0.004*0.25^4*0.91/2100000000/0.004^3)^0.5</f>
        <v>16.511415906833633</v>
      </c>
      <c r="AC78" s="228">
        <f t="shared" ref="AC78:AC87" si="122">100*(AB78-N78)/N78</f>
        <v>-2.1397517188692419</v>
      </c>
      <c r="AD78" s="194">
        <v>68.01173</v>
      </c>
      <c r="AE78" s="85">
        <f t="shared" ref="AE78:AE81" si="123">2*3.14158*AD78*(12*1185*0.004*0.25^4*0.91/2100000000/0.004^3)^0.5</f>
        <v>16.57459076157004</v>
      </c>
      <c r="AF78" s="228">
        <f t="shared" ref="AF78:AF84" si="124">100*(AE78-N78)/N78</f>
        <v>-1.7653255034245454</v>
      </c>
      <c r="AG78" s="14">
        <v>71.989000000000004</v>
      </c>
      <c r="AH78" s="85">
        <f t="shared" ref="AH78:AH81" si="125">2*3.14158*AG78*(12*1185*0.004*0.25^4*0.91/2100000000/0.004^3)^0.5</f>
        <v>17.543859189211418</v>
      </c>
      <c r="AI78" s="33">
        <f t="shared" ref="AI78:AI86" si="126">100*(AH78-N78)/N78</f>
        <v>3.9793574186978029</v>
      </c>
      <c r="AO78" s="2"/>
      <c r="AP78" s="2"/>
      <c r="AQ78" s="2"/>
      <c r="AR78" s="2"/>
      <c r="AS78" s="2"/>
    </row>
    <row r="79" spans="1:45" x14ac:dyDescent="0.2">
      <c r="A79" s="14" t="s">
        <v>27</v>
      </c>
      <c r="B79" s="15">
        <v>92.25</v>
      </c>
      <c r="C79" s="23">
        <f t="shared" si="107"/>
        <v>8.0217391304347831</v>
      </c>
      <c r="D79" s="24">
        <f t="shared" si="108"/>
        <v>22.511197871153563</v>
      </c>
      <c r="E79" s="158" t="s">
        <v>27</v>
      </c>
      <c r="F79" s="15">
        <v>96.75</v>
      </c>
      <c r="G79" s="23">
        <f t="shared" si="109"/>
        <v>8.0625</v>
      </c>
      <c r="H79" s="24">
        <f t="shared" si="110"/>
        <v>22.829589379553223</v>
      </c>
      <c r="I79" s="226" t="s">
        <v>27</v>
      </c>
      <c r="J79" s="78">
        <v>92.25</v>
      </c>
      <c r="K79" s="163">
        <f t="shared" si="111"/>
        <v>7.8510638297872344</v>
      </c>
      <c r="L79" s="24">
        <f t="shared" si="112"/>
        <v>22.515814109293391</v>
      </c>
      <c r="M79" s="26">
        <f t="shared" si="113"/>
        <v>93.75</v>
      </c>
      <c r="N79" s="27">
        <f t="shared" si="114"/>
        <v>22.618867120000058</v>
      </c>
      <c r="O79" s="28">
        <f t="shared" si="115"/>
        <v>0.18250542571944042</v>
      </c>
      <c r="P79" s="29">
        <f t="shared" si="116"/>
        <v>0.8068725314631936</v>
      </c>
      <c r="Q79" s="223" t="s">
        <v>105</v>
      </c>
      <c r="R79" s="86">
        <v>306</v>
      </c>
      <c r="S79" s="86">
        <v>306</v>
      </c>
      <c r="T79" s="86">
        <v>306</v>
      </c>
      <c r="U79" s="86">
        <f t="shared" si="105"/>
        <v>306</v>
      </c>
      <c r="V79" s="86">
        <f t="shared" si="106"/>
        <v>0</v>
      </c>
      <c r="W79" s="86">
        <f t="shared" si="117"/>
        <v>8.0526315789473681</v>
      </c>
      <c r="X79" s="88">
        <f t="shared" si="118"/>
        <v>21.773760062345609</v>
      </c>
      <c r="Y79" s="89">
        <f t="shared" si="119"/>
        <v>22.618867120000058</v>
      </c>
      <c r="Z79" s="227">
        <f t="shared" si="120"/>
        <v>3.8813096830066223</v>
      </c>
      <c r="AA79" s="158">
        <v>94.266300000000001</v>
      </c>
      <c r="AB79" s="85">
        <f t="shared" si="121"/>
        <v>22.972880488518527</v>
      </c>
      <c r="AC79" s="229">
        <f t="shared" si="122"/>
        <v>1.5651242241281105</v>
      </c>
      <c r="AD79" s="194">
        <v>94.397580000000005</v>
      </c>
      <c r="AE79" s="85">
        <f t="shared" si="123"/>
        <v>23.004873679622161</v>
      </c>
      <c r="AF79" s="229">
        <f t="shared" si="124"/>
        <v>1.7065689345722741</v>
      </c>
      <c r="AG79" s="14">
        <v>626.78499999999997</v>
      </c>
      <c r="AH79" s="85">
        <f t="shared" si="125"/>
        <v>152.7487224702368</v>
      </c>
      <c r="AI79" s="33">
        <f t="shared" si="126"/>
        <v>575.31553043685949</v>
      </c>
      <c r="AO79" s="2"/>
      <c r="AP79" s="2"/>
      <c r="AQ79" s="2"/>
      <c r="AR79" s="2"/>
      <c r="AS79" s="2"/>
    </row>
    <row r="80" spans="1:45" x14ac:dyDescent="0.2">
      <c r="A80" s="14" t="s">
        <v>30</v>
      </c>
      <c r="B80" s="15">
        <v>287.5</v>
      </c>
      <c r="C80" s="23">
        <f t="shared" si="107"/>
        <v>25</v>
      </c>
      <c r="D80" s="24">
        <f t="shared" si="108"/>
        <v>70.156849733947425</v>
      </c>
      <c r="E80" s="158" t="s">
        <v>30</v>
      </c>
      <c r="F80" s="15">
        <v>302.8</v>
      </c>
      <c r="G80" s="23">
        <f t="shared" si="109"/>
        <v>25.233333333333334</v>
      </c>
      <c r="H80" s="24">
        <f t="shared" si="110"/>
        <v>71.450125727428585</v>
      </c>
      <c r="I80" s="226" t="s">
        <v>30</v>
      </c>
      <c r="J80" s="78">
        <v>296.8</v>
      </c>
      <c r="K80" s="163">
        <f t="shared" si="111"/>
        <v>25.259574468085109</v>
      </c>
      <c r="L80" s="24">
        <f t="shared" si="112"/>
        <v>72.441123334832284</v>
      </c>
      <c r="M80" s="26">
        <f t="shared" si="113"/>
        <v>295.7</v>
      </c>
      <c r="N80" s="27">
        <f t="shared" si="114"/>
        <v>71.349366265402764</v>
      </c>
      <c r="O80" s="28">
        <f t="shared" si="115"/>
        <v>1.1454653302547702</v>
      </c>
      <c r="P80" s="29">
        <f t="shared" si="116"/>
        <v>1.6054316810522324</v>
      </c>
      <c r="Q80" s="223" t="s">
        <v>106</v>
      </c>
      <c r="R80" s="86">
        <v>989</v>
      </c>
      <c r="S80" s="230">
        <v>989</v>
      </c>
      <c r="T80" s="230">
        <v>989</v>
      </c>
      <c r="U80" s="230">
        <f t="shared" si="105"/>
        <v>989</v>
      </c>
      <c r="V80" s="86">
        <f t="shared" si="106"/>
        <v>0</v>
      </c>
      <c r="W80" s="86">
        <f t="shared" si="117"/>
        <v>26.026315789473685</v>
      </c>
      <c r="X80" s="88">
        <f t="shared" si="118"/>
        <v>70.373361770130089</v>
      </c>
      <c r="Y80" s="89">
        <f t="shared" si="119"/>
        <v>71.349366265402764</v>
      </c>
      <c r="Z80" s="227">
        <f t="shared" si="120"/>
        <v>1.3868948004228216</v>
      </c>
      <c r="AA80" s="158">
        <v>287.358</v>
      </c>
      <c r="AB80" s="85">
        <f t="shared" si="121"/>
        <v>70.029702994810506</v>
      </c>
      <c r="AC80" s="228">
        <f t="shared" si="122"/>
        <v>-1.8495795263036017</v>
      </c>
      <c r="AD80" s="194">
        <v>288.66000000000003</v>
      </c>
      <c r="AE80" s="85">
        <f t="shared" si="123"/>
        <v>70.347002924860291</v>
      </c>
      <c r="AF80" s="228">
        <f t="shared" si="124"/>
        <v>-1.4048664942781954</v>
      </c>
      <c r="AG80" s="14">
        <v>201.339</v>
      </c>
      <c r="AH80" s="85">
        <f t="shared" si="125"/>
        <v>49.066705542466728</v>
      </c>
      <c r="AI80" s="33">
        <f t="shared" si="126"/>
        <v>-31.230355487741555</v>
      </c>
      <c r="AO80" s="2"/>
      <c r="AP80" s="2"/>
      <c r="AQ80" s="2"/>
      <c r="AR80" s="2"/>
      <c r="AS80" s="2"/>
    </row>
    <row r="81" spans="1:45" x14ac:dyDescent="0.2">
      <c r="A81" s="14" t="s">
        <v>29</v>
      </c>
      <c r="B81" s="15">
        <v>150.30000000000001</v>
      </c>
      <c r="C81" s="23">
        <f t="shared" si="107"/>
        <v>13.069565217391306</v>
      </c>
      <c r="D81" s="24">
        <f t="shared" si="108"/>
        <v>36.676780921781905</v>
      </c>
      <c r="E81" s="158" t="s">
        <v>29</v>
      </c>
      <c r="F81" s="15">
        <v>160</v>
      </c>
      <c r="G81" s="23">
        <f t="shared" si="109"/>
        <v>13.333333333333334</v>
      </c>
      <c r="H81" s="24">
        <f t="shared" si="110"/>
        <v>37.754359697452358</v>
      </c>
      <c r="I81" s="226" t="s">
        <v>29</v>
      </c>
      <c r="J81" s="78">
        <v>153</v>
      </c>
      <c r="K81" s="163">
        <f t="shared" si="111"/>
        <v>13.021276595744681</v>
      </c>
      <c r="L81" s="24">
        <f t="shared" si="112"/>
        <v>37.343301449559767</v>
      </c>
      <c r="M81" s="26">
        <f t="shared" si="113"/>
        <v>154.43333333333334</v>
      </c>
      <c r="N81" s="27">
        <f t="shared" si="114"/>
        <v>37.258147356264679</v>
      </c>
      <c r="O81" s="28">
        <f t="shared" si="115"/>
        <v>0.54381285305474336</v>
      </c>
      <c r="P81" s="29">
        <f t="shared" si="116"/>
        <v>1.4595810356719343</v>
      </c>
      <c r="Q81" s="223" t="s">
        <v>107</v>
      </c>
      <c r="R81" s="86">
        <v>486.5</v>
      </c>
      <c r="S81" s="86">
        <v>486.5</v>
      </c>
      <c r="T81" s="86">
        <v>486.5</v>
      </c>
      <c r="U81" s="86">
        <f t="shared" si="105"/>
        <v>486.5</v>
      </c>
      <c r="V81" s="86">
        <f t="shared" si="106"/>
        <v>0</v>
      </c>
      <c r="W81" s="86">
        <f t="shared" si="117"/>
        <v>12.802631578947368</v>
      </c>
      <c r="X81" s="88">
        <f t="shared" si="118"/>
        <v>34.617432255984113</v>
      </c>
      <c r="Y81" s="89">
        <f t="shared" si="119"/>
        <v>37.258147356264679</v>
      </c>
      <c r="Z81" s="227">
        <f t="shared" si="120"/>
        <v>7.6282812681003547</v>
      </c>
      <c r="AA81" s="158">
        <v>153.392</v>
      </c>
      <c r="AB81" s="85">
        <f t="shared" si="121"/>
        <v>37.381928471732031</v>
      </c>
      <c r="AC81" s="229">
        <f t="shared" si="122"/>
        <v>0.3322256318430159</v>
      </c>
      <c r="AD81" s="194">
        <v>152.595</v>
      </c>
      <c r="AE81" s="85">
        <f t="shared" si="123"/>
        <v>37.18769802299957</v>
      </c>
      <c r="AF81" s="229">
        <f t="shared" si="124"/>
        <v>-0.18908437016867449</v>
      </c>
      <c r="AG81" s="14">
        <v>1898.66</v>
      </c>
      <c r="AH81" s="85">
        <f t="shared" si="125"/>
        <v>462.70713148103391</v>
      </c>
      <c r="AI81" s="33">
        <f t="shared" si="126"/>
        <v>1141.8951674021794</v>
      </c>
      <c r="AO81" s="2"/>
      <c r="AP81" s="2"/>
      <c r="AQ81" s="2"/>
      <c r="AR81" s="2"/>
      <c r="AS81" s="2"/>
    </row>
    <row r="82" spans="1:45" x14ac:dyDescent="0.2">
      <c r="A82" s="14" t="s">
        <v>62</v>
      </c>
      <c r="B82" s="15">
        <v>201.3</v>
      </c>
      <c r="C82" s="23">
        <f t="shared" si="107"/>
        <v>17.504347826086956</v>
      </c>
      <c r="D82" s="24">
        <f t="shared" si="108"/>
        <v>49.121996005021266</v>
      </c>
      <c r="E82" s="158" t="s">
        <v>62</v>
      </c>
      <c r="F82" s="15">
        <v>213</v>
      </c>
      <c r="G82" s="23">
        <f t="shared" si="109"/>
        <v>17.75</v>
      </c>
      <c r="H82" s="24">
        <f t="shared" si="110"/>
        <v>50.260491347233454</v>
      </c>
      <c r="I82" s="226" t="s">
        <v>62</v>
      </c>
      <c r="J82" s="78">
        <v>205.8</v>
      </c>
      <c r="K82" s="163">
        <f t="shared" si="111"/>
        <v>17.514893617021279</v>
      </c>
      <c r="L82" s="24">
        <f t="shared" si="112"/>
        <v>50.230401557643141</v>
      </c>
      <c r="M82" s="26">
        <f t="shared" si="113"/>
        <v>206.70000000000002</v>
      </c>
      <c r="N82" s="27">
        <f t="shared" si="114"/>
        <v>49.870962969965952</v>
      </c>
      <c r="O82" s="28">
        <f t="shared" si="115"/>
        <v>0.64879887853882745</v>
      </c>
      <c r="P82" s="29">
        <f t="shared" si="116"/>
        <v>1.300955184943104</v>
      </c>
      <c r="Q82" s="223" t="s">
        <v>108</v>
      </c>
      <c r="R82" s="86">
        <v>666</v>
      </c>
      <c r="S82" s="86">
        <v>666</v>
      </c>
      <c r="T82" s="86">
        <v>666</v>
      </c>
      <c r="U82" s="86">
        <f t="shared" si="105"/>
        <v>666</v>
      </c>
      <c r="V82" s="86">
        <f t="shared" si="106"/>
        <v>0</v>
      </c>
      <c r="W82" s="86">
        <f t="shared" si="117"/>
        <v>17.526315789473685</v>
      </c>
      <c r="X82" s="88">
        <f t="shared" si="118"/>
        <v>47.389948370987497</v>
      </c>
      <c r="Y82" s="89">
        <f t="shared" si="119"/>
        <v>49.870962969965952</v>
      </c>
      <c r="Z82" s="227">
        <f t="shared" si="120"/>
        <v>5.2353182146477106</v>
      </c>
      <c r="AA82" s="158">
        <v>200.971</v>
      </c>
      <c r="AB82" s="85">
        <f>2*3.14158*AA82*(12*1185*0.004*0.25^4*0.91/2100000000/0.004^3)^0.5</f>
        <v>48.977023227368171</v>
      </c>
      <c r="AC82" s="228">
        <f t="shared" si="122"/>
        <v>-1.7925054768566273</v>
      </c>
      <c r="AD82" s="194">
        <v>201.869</v>
      </c>
      <c r="AE82" s="85">
        <f>2*3.14158*AD82*(12*1185*0.004*0.25^4*0.91/2100000000/0.004^3)^0.5</f>
        <v>49.195867572364101</v>
      </c>
      <c r="AF82" s="228">
        <f t="shared" si="124"/>
        <v>-1.3536843032455921</v>
      </c>
      <c r="AG82" s="14">
        <v>393.84100000000001</v>
      </c>
      <c r="AH82" s="85">
        <f>2*3.14158*AG82*(12*1185*0.004*0.25^4*0.91/2100000000/0.004^3)^0.5</f>
        <v>95.979817012852152</v>
      </c>
      <c r="AI82" s="33">
        <f t="shared" si="126"/>
        <v>92.456313848711062</v>
      </c>
      <c r="AO82" s="2"/>
      <c r="AP82" s="2"/>
      <c r="AQ82" s="2"/>
      <c r="AR82" s="2"/>
      <c r="AS82" s="2"/>
    </row>
    <row r="83" spans="1:45" x14ac:dyDescent="0.2">
      <c r="A83" s="194" t="s">
        <v>61</v>
      </c>
      <c r="B83" s="78">
        <v>208.8</v>
      </c>
      <c r="C83" s="163">
        <f t="shared" si="107"/>
        <v>18.156521739130437</v>
      </c>
      <c r="D83" s="24">
        <f t="shared" si="108"/>
        <v>50.952174693732943</v>
      </c>
      <c r="E83" s="226" t="s">
        <v>61</v>
      </c>
      <c r="F83" s="78">
        <v>223</v>
      </c>
      <c r="G83" s="23">
        <f t="shared" si="109"/>
        <v>18.583333333333332</v>
      </c>
      <c r="H83" s="24">
        <f t="shared" si="110"/>
        <v>52.620138828324222</v>
      </c>
      <c r="I83" s="226" t="s">
        <v>61</v>
      </c>
      <c r="J83" s="78">
        <v>213</v>
      </c>
      <c r="K83" s="163">
        <f t="shared" si="111"/>
        <v>18.127659574468087</v>
      </c>
      <c r="L83" s="24">
        <f t="shared" si="112"/>
        <v>51.987733390563605</v>
      </c>
      <c r="M83" s="26">
        <f t="shared" si="113"/>
        <v>214.93333333333331</v>
      </c>
      <c r="N83" s="27">
        <f t="shared" si="114"/>
        <v>51.853348970873583</v>
      </c>
      <c r="O83" s="28">
        <f t="shared" si="115"/>
        <v>0.84206322076330808</v>
      </c>
      <c r="P83" s="29">
        <f t="shared" si="116"/>
        <v>1.6239321808053351</v>
      </c>
      <c r="Q83" s="223" t="s">
        <v>61</v>
      </c>
      <c r="R83" s="86">
        <v>702.5</v>
      </c>
      <c r="S83" s="86">
        <v>702.5</v>
      </c>
      <c r="T83" s="86">
        <v>702.5</v>
      </c>
      <c r="U83" s="86">
        <f t="shared" si="105"/>
        <v>702.5</v>
      </c>
      <c r="V83" s="86">
        <f t="shared" si="106"/>
        <v>0</v>
      </c>
      <c r="W83" s="86">
        <f t="shared" si="117"/>
        <v>18.486842105263158</v>
      </c>
      <c r="X83" s="88">
        <f t="shared" si="118"/>
        <v>49.987145241169252</v>
      </c>
      <c r="Y83" s="89">
        <f t="shared" si="119"/>
        <v>51.853348970873583</v>
      </c>
      <c r="Z83" s="227">
        <f t="shared" si="120"/>
        <v>3.7333672901314876</v>
      </c>
      <c r="AA83" s="158">
        <v>212.833</v>
      </c>
      <c r="AB83" s="85">
        <f>2*3.14158*AA83*(12*1185*0.004*0.25^4*0.91/2100000000/0.004^3)^0.5</f>
        <v>51.867815677637324</v>
      </c>
      <c r="AC83" s="228">
        <f t="shared" si="122"/>
        <v>2.789927179412743E-2</v>
      </c>
      <c r="AD83" s="194">
        <v>213.637</v>
      </c>
      <c r="AE83" s="85">
        <f>2*3.14158*AD83*(12*1185*0.004*0.25^4*0.91/2100000000/0.004^3)^0.5</f>
        <v>52.063752039972208</v>
      </c>
      <c r="AF83" s="228">
        <f t="shared" si="124"/>
        <v>0.40576563187232118</v>
      </c>
      <c r="AG83" s="14">
        <v>3165.94</v>
      </c>
      <c r="AH83" s="85">
        <f t="shared" ref="AH83:AH86" si="127">2*3.14158*AG83*(12*1185*0.004*0.25^4*0.91/2100000000/0.004^3)^0.5</f>
        <v>771.54573006281498</v>
      </c>
      <c r="AI83" s="33">
        <f t="shared" si="126"/>
        <v>1387.9380895845281</v>
      </c>
      <c r="AO83" s="2"/>
      <c r="AP83" s="2"/>
      <c r="AQ83" s="2"/>
      <c r="AR83" s="2"/>
      <c r="AS83" s="2"/>
    </row>
    <row r="84" spans="1:45" x14ac:dyDescent="0.2">
      <c r="A84" s="194" t="s">
        <v>109</v>
      </c>
      <c r="B84" s="78">
        <v>287.5</v>
      </c>
      <c r="C84" s="163">
        <f t="shared" si="107"/>
        <v>25</v>
      </c>
      <c r="D84" s="24">
        <f t="shared" si="108"/>
        <v>70.156849733947425</v>
      </c>
      <c r="E84" s="226" t="s">
        <v>109</v>
      </c>
      <c r="F84" s="78">
        <v>302.8</v>
      </c>
      <c r="G84" s="23">
        <f t="shared" si="109"/>
        <v>25.233333333333334</v>
      </c>
      <c r="H84" s="24">
        <f t="shared" si="110"/>
        <v>71.450125727428585</v>
      </c>
      <c r="I84" s="226" t="s">
        <v>109</v>
      </c>
      <c r="J84" s="78">
        <v>296.8</v>
      </c>
      <c r="K84" s="163">
        <f t="shared" si="111"/>
        <v>25.259574468085109</v>
      </c>
      <c r="L84" s="24">
        <f t="shared" si="112"/>
        <v>72.441123334832284</v>
      </c>
      <c r="M84" s="26">
        <f t="shared" si="113"/>
        <v>295.7</v>
      </c>
      <c r="N84" s="27">
        <f t="shared" si="114"/>
        <v>71.349366265402764</v>
      </c>
      <c r="O84" s="28">
        <f>STDEV(D84,H84,L84)</f>
        <v>1.1454653302547702</v>
      </c>
      <c r="P84" s="29">
        <f t="shared" si="116"/>
        <v>1.6054316810522324</v>
      </c>
      <c r="Q84" s="223" t="s">
        <v>110</v>
      </c>
      <c r="R84" s="86">
        <v>989</v>
      </c>
      <c r="S84" s="230">
        <v>989</v>
      </c>
      <c r="T84" s="230">
        <v>989</v>
      </c>
      <c r="U84" s="230">
        <f t="shared" si="105"/>
        <v>989</v>
      </c>
      <c r="V84" s="86">
        <f t="shared" si="106"/>
        <v>0</v>
      </c>
      <c r="W84" s="86">
        <f t="shared" si="117"/>
        <v>26.026315789473685</v>
      </c>
      <c r="X84" s="88">
        <f t="shared" si="118"/>
        <v>70.373361770130089</v>
      </c>
      <c r="Y84" s="89">
        <f t="shared" si="119"/>
        <v>71.349366265402764</v>
      </c>
      <c r="Z84" s="227">
        <f t="shared" si="120"/>
        <v>1.3868948004228216</v>
      </c>
      <c r="AA84" s="226">
        <v>287.358</v>
      </c>
      <c r="AB84" s="85">
        <f t="shared" ref="AB84:AB87" si="128">2*3.14158*AA84*(12*1185*0.004*0.25^4*0.91/2100000000/0.004^3)^0.5</f>
        <v>70.029702994810506</v>
      </c>
      <c r="AC84" s="228">
        <f t="shared" si="122"/>
        <v>-1.8495795263036017</v>
      </c>
      <c r="AD84" s="194">
        <v>288.66000000000003</v>
      </c>
      <c r="AE84" s="85">
        <f t="shared" ref="AE84:AE87" si="129">2*3.14158*AD84*(12*1185*0.004*0.25^4*0.91/2100000000/0.004^3)^0.5</f>
        <v>70.347002924860291</v>
      </c>
      <c r="AF84" s="228">
        <f t="shared" si="124"/>
        <v>-1.4048664942781954</v>
      </c>
      <c r="AG84" s="14">
        <v>651.9</v>
      </c>
      <c r="AH84" s="85">
        <f t="shared" si="127"/>
        <v>158.86929677376992</v>
      </c>
      <c r="AI84" s="33">
        <f t="shared" si="126"/>
        <v>122.66392133437279</v>
      </c>
      <c r="AO84" s="2"/>
      <c r="AP84" s="2"/>
      <c r="AQ84" s="2"/>
      <c r="AR84" s="2"/>
      <c r="AS84" s="2"/>
    </row>
    <row r="85" spans="1:45" x14ac:dyDescent="0.2">
      <c r="A85" s="194" t="s">
        <v>95</v>
      </c>
      <c r="B85" s="78" t="s">
        <v>60</v>
      </c>
      <c r="C85" s="163" t="s">
        <v>60</v>
      </c>
      <c r="D85" s="84" t="s">
        <v>60</v>
      </c>
      <c r="E85" s="226" t="s">
        <v>95</v>
      </c>
      <c r="F85" s="78" t="s">
        <v>60</v>
      </c>
      <c r="G85" s="23" t="s">
        <v>60</v>
      </c>
      <c r="H85" s="24" t="s">
        <v>60</v>
      </c>
      <c r="I85" s="226" t="s">
        <v>95</v>
      </c>
      <c r="J85" s="78">
        <v>504.5</v>
      </c>
      <c r="K85" s="163">
        <f t="shared" si="111"/>
        <v>42.936170212765958</v>
      </c>
      <c r="L85" s="24">
        <f t="shared" si="112"/>
        <v>123.13526523727388</v>
      </c>
      <c r="M85" s="26" t="s">
        <v>60</v>
      </c>
      <c r="N85" s="27" t="s">
        <v>60</v>
      </c>
      <c r="O85" s="28" t="s">
        <v>60</v>
      </c>
      <c r="P85" s="29" t="s">
        <v>60</v>
      </c>
      <c r="Q85" s="223" t="s">
        <v>95</v>
      </c>
      <c r="R85" s="224" t="s">
        <v>60</v>
      </c>
      <c r="S85" s="86" t="s">
        <v>60</v>
      </c>
      <c r="T85" s="86" t="s">
        <v>60</v>
      </c>
      <c r="U85" s="86" t="s">
        <v>60</v>
      </c>
      <c r="V85" s="231" t="s">
        <v>96</v>
      </c>
      <c r="W85" s="86" t="s">
        <v>60</v>
      </c>
      <c r="X85" s="232" t="s">
        <v>60</v>
      </c>
      <c r="Y85" s="233" t="s">
        <v>60</v>
      </c>
      <c r="Z85" s="227" t="s">
        <v>60</v>
      </c>
      <c r="AA85" s="226">
        <v>502.255</v>
      </c>
      <c r="AB85" s="85">
        <f t="shared" si="128"/>
        <v>122.40051948321798</v>
      </c>
      <c r="AC85" s="234" t="s">
        <v>60</v>
      </c>
      <c r="AD85" s="194">
        <v>503.791</v>
      </c>
      <c r="AE85" s="85">
        <f t="shared" si="129"/>
        <v>122.77484566797716</v>
      </c>
      <c r="AF85" s="234" t="s">
        <v>60</v>
      </c>
      <c r="AG85" s="14" t="s">
        <v>60</v>
      </c>
      <c r="AH85" s="85" t="s">
        <v>60</v>
      </c>
      <c r="AI85" s="204" t="s">
        <v>60</v>
      </c>
      <c r="AO85" s="2"/>
      <c r="AP85" s="2"/>
      <c r="AQ85" s="2"/>
      <c r="AR85" s="2"/>
      <c r="AS85" s="2"/>
    </row>
    <row r="86" spans="1:45" x14ac:dyDescent="0.2">
      <c r="A86" s="194" t="s">
        <v>111</v>
      </c>
      <c r="B86" s="78">
        <v>384.5</v>
      </c>
      <c r="C86" s="163">
        <f t="shared" si="107"/>
        <v>33.434782608695649</v>
      </c>
      <c r="D86" s="24">
        <f t="shared" si="108"/>
        <v>93.827160774618378</v>
      </c>
      <c r="E86" s="226" t="s">
        <v>111</v>
      </c>
      <c r="F86" s="78">
        <v>402.8</v>
      </c>
      <c r="G86" s="23">
        <f>F86/12</f>
        <v>33.56666666666667</v>
      </c>
      <c r="H86" s="24">
        <f t="shared" si="110"/>
        <v>95.046600538336321</v>
      </c>
      <c r="I86" s="226" t="s">
        <v>111</v>
      </c>
      <c r="J86" s="78">
        <v>394.5</v>
      </c>
      <c r="K86" s="163">
        <f t="shared" si="111"/>
        <v>33.574468085106382</v>
      </c>
      <c r="L86" s="24">
        <f t="shared" si="112"/>
        <v>96.287140012100195</v>
      </c>
      <c r="M86" s="26">
        <f t="shared" si="113"/>
        <v>393.93333333333334</v>
      </c>
      <c r="N86" s="27">
        <f t="shared" si="114"/>
        <v>95.053633775018284</v>
      </c>
      <c r="O86" s="28">
        <f t="shared" ref="O86" si="130">STDEV(D86,H86,L86)</f>
        <v>1.230004700000807</v>
      </c>
      <c r="P86" s="29">
        <f t="shared" ref="P86:P87" si="131">O86/N86*100</f>
        <v>1.2940112346594721</v>
      </c>
      <c r="Q86" s="223" t="s">
        <v>112</v>
      </c>
      <c r="R86" s="224">
        <v>1330</v>
      </c>
      <c r="S86" s="86">
        <v>1330</v>
      </c>
      <c r="T86" s="86">
        <v>1330</v>
      </c>
      <c r="U86" s="86">
        <f t="shared" si="105"/>
        <v>1330</v>
      </c>
      <c r="V86" s="231">
        <f t="shared" si="106"/>
        <v>0</v>
      </c>
      <c r="W86" s="86">
        <f t="shared" si="117"/>
        <v>35</v>
      </c>
      <c r="X86" s="88">
        <f t="shared" si="118"/>
        <v>94.637584584704754</v>
      </c>
      <c r="Y86" s="89">
        <f t="shared" si="119"/>
        <v>95.053633775018284</v>
      </c>
      <c r="Z86" s="227">
        <f t="shared" si="120"/>
        <v>0.43962363593625681</v>
      </c>
      <c r="AA86" s="226">
        <v>380.80900000000003</v>
      </c>
      <c r="AB86" s="85">
        <f t="shared" si="128"/>
        <v>92.803893289035969</v>
      </c>
      <c r="AC86" s="228">
        <f t="shared" si="122"/>
        <v>-2.3668116584655863</v>
      </c>
      <c r="AD86" s="194">
        <v>382.56700000000001</v>
      </c>
      <c r="AE86" s="85">
        <f t="shared" si="129"/>
        <v>93.232321305186119</v>
      </c>
      <c r="AF86" s="228">
        <f t="shared" ref="AF86:AF87" si="132">100*(AD86-M86)/M86</f>
        <v>-2.8853443899136901</v>
      </c>
      <c r="AG86" s="14">
        <v>968.33500000000004</v>
      </c>
      <c r="AH86" s="85">
        <f t="shared" si="127"/>
        <v>235.98512117108223</v>
      </c>
      <c r="AI86" s="33">
        <f t="shared" si="126"/>
        <v>148.26522858624597</v>
      </c>
      <c r="AO86" s="2"/>
      <c r="AP86" s="2"/>
      <c r="AQ86" s="2"/>
      <c r="AR86" s="2"/>
      <c r="AS86" s="2"/>
    </row>
    <row r="87" spans="1:45" ht="15.75" thickBot="1" x14ac:dyDescent="0.25">
      <c r="A87" s="194" t="s">
        <v>31</v>
      </c>
      <c r="B87" s="78">
        <v>572.5</v>
      </c>
      <c r="C87" s="163">
        <f t="shared" si="107"/>
        <v>49.782608695652172</v>
      </c>
      <c r="D87" s="24">
        <f t="shared" si="108"/>
        <v>139.70363990499092</v>
      </c>
      <c r="E87" s="226" t="s">
        <v>31</v>
      </c>
      <c r="F87" s="78">
        <v>625.79999999999995</v>
      </c>
      <c r="G87" s="23">
        <f>F87/12</f>
        <v>52.15</v>
      </c>
      <c r="H87" s="24">
        <f t="shared" si="110"/>
        <v>147.66673936666052</v>
      </c>
      <c r="I87" s="226" t="s">
        <v>31</v>
      </c>
      <c r="J87" s="78">
        <v>564.79999999999995</v>
      </c>
      <c r="K87" s="163">
        <f t="shared" si="111"/>
        <v>48.068085106382973</v>
      </c>
      <c r="L87" s="24">
        <f t="shared" si="112"/>
        <v>137.85291933798274</v>
      </c>
      <c r="M87" s="171">
        <f t="shared" si="113"/>
        <v>587.69999999999993</v>
      </c>
      <c r="N87" s="172">
        <f t="shared" si="114"/>
        <v>141.74109953654474</v>
      </c>
      <c r="O87" s="173">
        <f>STDEV(D87,H87,L87)</f>
        <v>5.2145179260865353</v>
      </c>
      <c r="P87" s="174">
        <f t="shared" si="131"/>
        <v>3.6789032561032795</v>
      </c>
      <c r="Q87" s="223" t="s">
        <v>31</v>
      </c>
      <c r="R87" s="224" t="s">
        <v>60</v>
      </c>
      <c r="S87" s="224" t="s">
        <v>60</v>
      </c>
      <c r="T87" s="224" t="s">
        <v>60</v>
      </c>
      <c r="U87" s="224" t="s">
        <v>60</v>
      </c>
      <c r="V87" s="224" t="s">
        <v>60</v>
      </c>
      <c r="W87" s="224" t="s">
        <v>60</v>
      </c>
      <c r="X87" s="224" t="s">
        <v>60</v>
      </c>
      <c r="Y87" s="233" t="s">
        <v>60</v>
      </c>
      <c r="Z87" s="159" t="s">
        <v>60</v>
      </c>
      <c r="AA87" s="226">
        <v>577.11400000000003</v>
      </c>
      <c r="AB87" s="85">
        <f t="shared" si="128"/>
        <v>140.64380324942087</v>
      </c>
      <c r="AC87" s="228">
        <f t="shared" si="122"/>
        <v>-0.77415533723932684</v>
      </c>
      <c r="AD87" s="194">
        <v>579.56299999999999</v>
      </c>
      <c r="AE87" s="85">
        <f t="shared" si="129"/>
        <v>141.24062930832397</v>
      </c>
      <c r="AF87" s="228">
        <f t="shared" si="132"/>
        <v>-1.3845499404457962</v>
      </c>
      <c r="AG87" s="14" t="s">
        <v>60</v>
      </c>
      <c r="AH87" s="85" t="s">
        <v>60</v>
      </c>
      <c r="AI87" s="204" t="s">
        <v>60</v>
      </c>
      <c r="AO87" s="2"/>
      <c r="AP87" s="2"/>
      <c r="AQ87" s="2"/>
      <c r="AR87" s="2"/>
      <c r="AS87" s="2"/>
    </row>
    <row r="88" spans="1:45" ht="15.75" thickBot="1" x14ac:dyDescent="0.25">
      <c r="A88" s="235" t="s">
        <v>113</v>
      </c>
      <c r="B88" s="236" t="s">
        <v>60</v>
      </c>
      <c r="C88" s="207" t="s">
        <v>60</v>
      </c>
      <c r="D88" s="237" t="s">
        <v>60</v>
      </c>
      <c r="E88" s="238" t="s">
        <v>113</v>
      </c>
      <c r="F88" s="236" t="s">
        <v>60</v>
      </c>
      <c r="G88" s="239" t="s">
        <v>60</v>
      </c>
      <c r="H88" s="24" t="s">
        <v>60</v>
      </c>
      <c r="I88" s="238" t="s">
        <v>113</v>
      </c>
      <c r="J88" s="236" t="s">
        <v>60</v>
      </c>
      <c r="K88" s="207" t="s">
        <v>60</v>
      </c>
      <c r="L88" s="208" t="s">
        <v>60</v>
      </c>
      <c r="Q88" s="240" t="s">
        <v>113</v>
      </c>
      <c r="R88" s="224" t="s">
        <v>60</v>
      </c>
      <c r="S88" s="224" t="s">
        <v>60</v>
      </c>
      <c r="T88" s="224" t="s">
        <v>60</v>
      </c>
      <c r="U88" s="224" t="s">
        <v>60</v>
      </c>
      <c r="V88" s="224" t="s">
        <v>60</v>
      </c>
      <c r="W88" s="224" t="s">
        <v>60</v>
      </c>
      <c r="X88" s="224" t="s">
        <v>60</v>
      </c>
      <c r="Y88" s="241" t="s">
        <v>60</v>
      </c>
      <c r="Z88" s="242" t="s">
        <v>60</v>
      </c>
      <c r="AA88" s="238">
        <v>502.255</v>
      </c>
      <c r="AB88" s="203">
        <f>2*3.14158*AA88*(12*1185*0.004*0.25^4*0.91/2100000000/0.004^3)^0.5</f>
        <v>122.40051948321798</v>
      </c>
      <c r="AC88" s="243" t="s">
        <v>60</v>
      </c>
      <c r="AD88" s="235">
        <v>504.548</v>
      </c>
      <c r="AE88" s="203">
        <f>2*3.14158*AD88*(12*1185*0.004*0.25^4*0.91/2100000000/0.004^3)^0.5</f>
        <v>122.95932803898152</v>
      </c>
      <c r="AF88" s="243" t="s">
        <v>60</v>
      </c>
      <c r="AG88" s="61" t="s">
        <v>60</v>
      </c>
      <c r="AH88" s="203" t="s">
        <v>60</v>
      </c>
      <c r="AI88" s="211" t="s">
        <v>60</v>
      </c>
      <c r="AO88" s="2"/>
      <c r="AP88" s="2"/>
      <c r="AQ88" s="2"/>
      <c r="AR88" s="2"/>
      <c r="AS88" s="2"/>
    </row>
    <row r="89" spans="1:45" x14ac:dyDescent="0.2">
      <c r="A89" s="52" t="s">
        <v>33</v>
      </c>
      <c r="B89" s="53" t="s">
        <v>34</v>
      </c>
      <c r="C89" s="54" t="s">
        <v>35</v>
      </c>
      <c r="D89" s="55" t="s">
        <v>36</v>
      </c>
      <c r="E89" s="52" t="s">
        <v>33</v>
      </c>
      <c r="F89" s="53" t="s">
        <v>34</v>
      </c>
      <c r="G89" s="54" t="s">
        <v>35</v>
      </c>
      <c r="H89" s="55" t="s">
        <v>36</v>
      </c>
      <c r="I89" s="52" t="s">
        <v>33</v>
      </c>
      <c r="J89" s="53" t="s">
        <v>34</v>
      </c>
      <c r="K89" s="54" t="s">
        <v>35</v>
      </c>
      <c r="L89" s="55" t="s">
        <v>36</v>
      </c>
      <c r="M89" s="56"/>
      <c r="N89" s="56"/>
      <c r="O89" s="56"/>
      <c r="P89" s="56"/>
      <c r="Q89" s="76" t="s">
        <v>63</v>
      </c>
      <c r="R89" s="125" t="s">
        <v>64</v>
      </c>
      <c r="S89" s="126"/>
      <c r="T89" s="127" t="s">
        <v>35</v>
      </c>
      <c r="U89" s="127"/>
      <c r="V89" s="127" t="s">
        <v>36</v>
      </c>
      <c r="W89" s="127"/>
      <c r="X89" s="128"/>
      <c r="Y89" s="221"/>
      <c r="Z89" s="221"/>
      <c r="AA89" s="244"/>
      <c r="AB89" s="221"/>
      <c r="AC89" s="221"/>
      <c r="AD89" s="245"/>
      <c r="AE89" s="245"/>
      <c r="AO89" s="2"/>
      <c r="AP89" s="2"/>
      <c r="AQ89" s="2"/>
      <c r="AR89" s="2"/>
    </row>
    <row r="90" spans="1:45" x14ac:dyDescent="0.2">
      <c r="A90" s="14" t="s">
        <v>37</v>
      </c>
      <c r="B90" s="15">
        <v>800</v>
      </c>
      <c r="C90" s="58">
        <v>0</v>
      </c>
      <c r="D90" s="129">
        <v>0.25</v>
      </c>
      <c r="E90" s="14" t="s">
        <v>37</v>
      </c>
      <c r="F90" s="15">
        <v>800</v>
      </c>
      <c r="G90" s="58">
        <v>0</v>
      </c>
      <c r="H90" s="129">
        <v>0.25</v>
      </c>
      <c r="I90" s="14" t="s">
        <v>37</v>
      </c>
      <c r="J90" s="15">
        <v>800</v>
      </c>
      <c r="K90" s="58">
        <v>0</v>
      </c>
      <c r="L90" s="59">
        <v>0.25</v>
      </c>
      <c r="M90" s="56"/>
      <c r="N90" s="56"/>
      <c r="O90" s="56"/>
      <c r="P90" s="56"/>
      <c r="Q90" s="83" t="s">
        <v>65</v>
      </c>
      <c r="R90" s="138">
        <v>0</v>
      </c>
      <c r="S90" s="138"/>
      <c r="T90" s="139">
        <v>1600</v>
      </c>
      <c r="U90" s="139"/>
      <c r="V90" s="188">
        <v>0.5</v>
      </c>
      <c r="W90" s="188"/>
      <c r="X90" s="189"/>
      <c r="Y90" s="221"/>
      <c r="Z90" s="221"/>
      <c r="AA90" s="244"/>
      <c r="AB90" s="221"/>
      <c r="AC90" s="221"/>
      <c r="AD90" s="245"/>
      <c r="AE90" s="245"/>
      <c r="AO90" s="2"/>
      <c r="AP90" s="2"/>
      <c r="AQ90" s="2"/>
      <c r="AR90" s="2"/>
    </row>
    <row r="91" spans="1:45" x14ac:dyDescent="0.2">
      <c r="A91" s="14"/>
      <c r="B91" s="60" t="s">
        <v>38</v>
      </c>
      <c r="C91" s="58" t="s">
        <v>39</v>
      </c>
      <c r="D91" s="59" t="s">
        <v>40</v>
      </c>
      <c r="E91" s="14"/>
      <c r="F91" s="60" t="s">
        <v>38</v>
      </c>
      <c r="G91" s="58" t="s">
        <v>39</v>
      </c>
      <c r="H91" s="59" t="s">
        <v>40</v>
      </c>
      <c r="I91" s="14"/>
      <c r="J91" s="60" t="s">
        <v>38</v>
      </c>
      <c r="K91" s="58" t="s">
        <v>39</v>
      </c>
      <c r="L91" s="59" t="s">
        <v>40</v>
      </c>
      <c r="M91" s="56"/>
      <c r="N91" s="56"/>
      <c r="O91" s="56"/>
      <c r="P91" s="56"/>
      <c r="Q91" s="83"/>
      <c r="R91" s="137" t="s">
        <v>38</v>
      </c>
      <c r="S91" s="138"/>
      <c r="T91" s="139" t="s">
        <v>39</v>
      </c>
      <c r="U91" s="139"/>
      <c r="V91" s="139" t="s">
        <v>67</v>
      </c>
      <c r="W91" s="139"/>
      <c r="X91" s="140"/>
      <c r="Y91" s="221"/>
      <c r="Z91" s="221"/>
      <c r="AA91" s="244"/>
      <c r="AC91" s="221"/>
      <c r="AD91" s="245"/>
      <c r="AE91" s="245"/>
      <c r="AO91" s="2"/>
      <c r="AP91" s="2"/>
      <c r="AQ91" s="2"/>
      <c r="AR91" s="2"/>
    </row>
    <row r="92" spans="1:45" ht="15.75" thickBot="1" x14ac:dyDescent="0.25">
      <c r="A92" s="61" t="s">
        <v>41</v>
      </c>
      <c r="B92" s="62">
        <v>9</v>
      </c>
      <c r="C92" s="63">
        <v>5</v>
      </c>
      <c r="D92" s="141" t="s">
        <v>90</v>
      </c>
      <c r="E92" s="61" t="s">
        <v>41</v>
      </c>
      <c r="F92" s="62">
        <v>9</v>
      </c>
      <c r="G92" s="63">
        <v>5</v>
      </c>
      <c r="H92" s="141" t="s">
        <v>90</v>
      </c>
      <c r="I92" s="61" t="s">
        <v>41</v>
      </c>
      <c r="J92" s="62">
        <v>9</v>
      </c>
      <c r="K92" s="63">
        <v>5</v>
      </c>
      <c r="L92" s="64" t="s">
        <v>90</v>
      </c>
      <c r="M92" s="56"/>
      <c r="N92" s="56"/>
      <c r="O92" s="56"/>
      <c r="P92" s="56"/>
      <c r="Q92" s="142" t="s">
        <v>69</v>
      </c>
      <c r="R92" s="190">
        <v>13</v>
      </c>
      <c r="S92" s="190"/>
      <c r="T92" s="191">
        <v>3</v>
      </c>
      <c r="U92" s="191"/>
      <c r="V92" s="191" t="s">
        <v>43</v>
      </c>
      <c r="W92" s="191"/>
      <c r="X92" s="192"/>
      <c r="Y92" s="221"/>
      <c r="Z92" s="221"/>
      <c r="AA92" s="244"/>
      <c r="AB92" s="221"/>
      <c r="AC92" s="221"/>
      <c r="AD92" s="245"/>
      <c r="AE92" s="245"/>
      <c r="AO92" s="2"/>
      <c r="AP92" s="2"/>
      <c r="AQ92" s="2"/>
      <c r="AR92" s="2"/>
    </row>
    <row r="93" spans="1:45" x14ac:dyDescent="0.2">
      <c r="C93" s="56"/>
      <c r="D93" s="56"/>
      <c r="G93" s="56"/>
      <c r="H93" s="56"/>
      <c r="K93" s="56"/>
      <c r="L93" s="56"/>
      <c r="P93" s="56"/>
      <c r="Q93" s="56"/>
      <c r="R93" s="56"/>
      <c r="S93" s="56"/>
      <c r="T93" s="56"/>
      <c r="U93" s="221"/>
      <c r="V93" s="221"/>
      <c r="W93" s="244"/>
      <c r="X93" s="221"/>
      <c r="Y93" s="221"/>
      <c r="Z93" s="245"/>
      <c r="AA93" s="245"/>
    </row>
    <row r="94" spans="1:45" ht="15.75" thickBot="1" x14ac:dyDescent="0.25">
      <c r="C94" s="56"/>
      <c r="D94" s="56"/>
      <c r="G94" s="56"/>
      <c r="H94" s="56"/>
      <c r="K94" s="56"/>
      <c r="L94" s="56"/>
      <c r="P94" s="56"/>
      <c r="Q94" s="56"/>
      <c r="R94" s="56"/>
      <c r="S94" s="56"/>
      <c r="T94" s="56"/>
      <c r="U94" s="221"/>
      <c r="V94" s="221"/>
      <c r="W94" s="244"/>
      <c r="X94" s="221"/>
      <c r="Y94" s="221"/>
      <c r="Z94" s="245"/>
      <c r="AA94" s="245"/>
      <c r="AC94" s="221"/>
    </row>
    <row r="95" spans="1:45" ht="21.75" customHeight="1" x14ac:dyDescent="0.2">
      <c r="A95" s="4" t="s">
        <v>114</v>
      </c>
      <c r="B95" s="5" t="s">
        <v>115</v>
      </c>
      <c r="C95" s="5" t="s">
        <v>92</v>
      </c>
      <c r="D95" s="5"/>
      <c r="E95" s="4" t="s">
        <v>116</v>
      </c>
      <c r="F95" s="5" t="s">
        <v>115</v>
      </c>
      <c r="G95" s="5" t="s">
        <v>92</v>
      </c>
      <c r="H95" s="153"/>
      <c r="I95" s="4" t="s">
        <v>117</v>
      </c>
      <c r="J95" s="5" t="s">
        <v>115</v>
      </c>
      <c r="K95" s="5" t="s">
        <v>92</v>
      </c>
      <c r="L95" s="5"/>
      <c r="M95" s="65" t="s">
        <v>6</v>
      </c>
      <c r="N95" s="66"/>
      <c r="O95" s="70"/>
      <c r="P95" s="71"/>
      <c r="Q95" s="4" t="s">
        <v>7</v>
      </c>
      <c r="R95" s="6"/>
      <c r="S95" s="7"/>
      <c r="T95" s="4"/>
      <c r="U95" s="6"/>
      <c r="V95" s="7"/>
      <c r="W95" s="5"/>
      <c r="X95" s="6"/>
      <c r="Y95" s="7"/>
      <c r="Z95" s="13"/>
      <c r="AC95" s="13"/>
      <c r="AF95" s="13"/>
      <c r="AH95" s="13"/>
      <c r="AI95" s="13"/>
      <c r="AK95" s="3"/>
      <c r="AL95" s="3"/>
      <c r="AM95" s="3"/>
      <c r="AN95" s="3"/>
    </row>
    <row r="96" spans="1:45" x14ac:dyDescent="0.2">
      <c r="A96" s="14" t="s">
        <v>8</v>
      </c>
      <c r="B96" s="15" t="s">
        <v>9</v>
      </c>
      <c r="C96" s="15" t="s">
        <v>10</v>
      </c>
      <c r="D96" s="16" t="s">
        <v>11</v>
      </c>
      <c r="E96" s="14" t="s">
        <v>8</v>
      </c>
      <c r="F96" s="78" t="s">
        <v>9</v>
      </c>
      <c r="G96" s="78" t="s">
        <v>10</v>
      </c>
      <c r="H96" s="16" t="s">
        <v>11</v>
      </c>
      <c r="I96" s="14" t="s">
        <v>8</v>
      </c>
      <c r="J96" s="15" t="s">
        <v>9</v>
      </c>
      <c r="K96" s="15" t="s">
        <v>10</v>
      </c>
      <c r="L96" s="17" t="s">
        <v>11</v>
      </c>
      <c r="M96" s="14" t="s">
        <v>12</v>
      </c>
      <c r="N96" s="15" t="s">
        <v>13</v>
      </c>
      <c r="O96" s="15" t="s">
        <v>14</v>
      </c>
      <c r="P96" s="16" t="s">
        <v>15</v>
      </c>
      <c r="Q96" s="14" t="s">
        <v>87</v>
      </c>
      <c r="R96" s="15" t="s">
        <v>11</v>
      </c>
      <c r="S96" s="22" t="s">
        <v>19</v>
      </c>
      <c r="T96" s="14" t="s">
        <v>88</v>
      </c>
      <c r="U96" s="15" t="s">
        <v>11</v>
      </c>
      <c r="V96" s="22" t="s">
        <v>19</v>
      </c>
      <c r="W96" s="158" t="s">
        <v>89</v>
      </c>
      <c r="X96" s="15" t="s">
        <v>11</v>
      </c>
      <c r="Y96" s="22" t="s">
        <v>19</v>
      </c>
      <c r="AK96" s="3"/>
      <c r="AL96" s="3"/>
      <c r="AM96" s="3"/>
      <c r="AN96" s="3"/>
    </row>
    <row r="97" spans="1:45" x14ac:dyDescent="0.2">
      <c r="A97" s="14" t="s">
        <v>26</v>
      </c>
      <c r="B97" s="15">
        <v>40</v>
      </c>
      <c r="C97" s="23">
        <f>B97/40</f>
        <v>1</v>
      </c>
      <c r="D97" s="24">
        <f>2*3.14158*B97*(12*1185*0.004013*0.14979^4*0.91/2440000000/0.004013^3)^0.5</f>
        <v>3.2360123727653609</v>
      </c>
      <c r="E97" s="14" t="s">
        <v>26</v>
      </c>
      <c r="F97" s="78">
        <v>37.5</v>
      </c>
      <c r="G97" s="163">
        <f>F97/37.5</f>
        <v>1</v>
      </c>
      <c r="H97" s="24">
        <f>2*3.14158*F97*(12*1185*0.003992*0.14977^4*0.91/2100000000/0.003992^3)^0.5</f>
        <v>3.28646764317243</v>
      </c>
      <c r="I97" s="14" t="s">
        <v>26</v>
      </c>
      <c r="J97" s="15">
        <v>42</v>
      </c>
      <c r="K97" s="23">
        <f>J97/42</f>
        <v>1</v>
      </c>
      <c r="L97" s="25">
        <f>2*3.14158*J97*(12*1185*0.00402*0.14988^4*0.91/2440000000/0.00402^3)^0.5</f>
        <v>3.3959736081833531</v>
      </c>
      <c r="M97" s="26">
        <f>AVERAGE(B97,F97)</f>
        <v>38.75</v>
      </c>
      <c r="N97" s="27">
        <f>AVERAGE(D97,H97)</f>
        <v>3.2612400079688957</v>
      </c>
      <c r="O97" s="28">
        <f>STDEV(D97,H97,L97)</f>
        <v>8.1777021549734374E-2</v>
      </c>
      <c r="P97" s="29">
        <f>O97/N97*100</f>
        <v>2.5075437977551736</v>
      </c>
      <c r="Q97" s="14">
        <v>36.926200000000001</v>
      </c>
      <c r="R97" s="15">
        <f>2*3.14158*Q97*(12*1180*0.004*0.15^4*0.91/2100000000/0.004^3)^0.5</f>
        <v>3.2327933119707821</v>
      </c>
      <c r="S97" s="33">
        <f>100*(R97-N97)/N97</f>
        <v>-0.87226625236424093</v>
      </c>
      <c r="T97" s="194">
        <v>37.286200000000001</v>
      </c>
      <c r="U97" s="15">
        <f>2*3.14158*T97*(12*1180*0.004*0.15^4*0.91/2100000000/0.004^3)^0.5</f>
        <v>3.2643103809437468</v>
      </c>
      <c r="V97" s="33">
        <f>100*(U97-N97)/N97</f>
        <v>9.4147409186340875E-2</v>
      </c>
      <c r="W97" s="158">
        <v>37.208399999999997</v>
      </c>
      <c r="X97" s="15">
        <f>2*3.14158*W97*(12*1180*0.004*0.15^4*0.91/2100000000/0.004^3)^0.5</f>
        <v>3.2574991921490337</v>
      </c>
      <c r="Y97" s="33">
        <f>100*(X97-N97)/N97</f>
        <v>-0.11470532100431791</v>
      </c>
      <c r="AK97" s="3"/>
      <c r="AL97" s="3"/>
      <c r="AM97" s="3"/>
      <c r="AN97" s="3"/>
    </row>
    <row r="98" spans="1:45" x14ac:dyDescent="0.2">
      <c r="A98" s="14" t="s">
        <v>27</v>
      </c>
      <c r="B98" s="15">
        <v>213.8</v>
      </c>
      <c r="C98" s="23">
        <f t="shared" ref="C98:C103" si="133">B98/40</f>
        <v>5.3450000000000006</v>
      </c>
      <c r="D98" s="24">
        <f t="shared" ref="D98:D103" si="134">2*3.14158*B98*(12*1185*0.004013*0.14979^4*0.91/2440000000/0.004013^3)^0.5</f>
        <v>17.296486132430854</v>
      </c>
      <c r="E98" s="14" t="s">
        <v>27</v>
      </c>
      <c r="F98" s="78">
        <v>211.8</v>
      </c>
      <c r="G98" s="163">
        <f t="shared" ref="G98:G103" si="135">F98/37.5</f>
        <v>5.6480000000000006</v>
      </c>
      <c r="H98" s="24">
        <f t="shared" ref="H98:H103" si="136">2*3.14158*F98*(12*1185*0.003992*0.14977^4*0.91/2100000000/0.003992^3)^0.5</f>
        <v>18.561969248637887</v>
      </c>
      <c r="I98" s="14" t="s">
        <v>27</v>
      </c>
      <c r="J98" s="15">
        <v>223</v>
      </c>
      <c r="K98" s="23">
        <f t="shared" ref="K98:K103" si="137">J98/42</f>
        <v>5.3095238095238093</v>
      </c>
      <c r="L98" s="25">
        <f t="shared" ref="L98:L103" si="138">2*3.14158*J98*(12*1185*0.00402*0.14988^4*0.91/2440000000/0.00402^3)^0.5</f>
        <v>18.03100272916399</v>
      </c>
      <c r="M98" s="26">
        <f t="shared" ref="M98:M103" si="139">AVERAGE(B98,F98)</f>
        <v>212.8</v>
      </c>
      <c r="N98" s="27">
        <f t="shared" ref="N98:N103" si="140">AVERAGE(D98,H98)</f>
        <v>17.929227690534368</v>
      </c>
      <c r="O98" s="28">
        <f t="shared" ref="O98:O103" si="141">STDEV(D98,H98,L98)</f>
        <v>0.63546408147690459</v>
      </c>
      <c r="P98" s="29">
        <f t="shared" ref="P98:P102" si="142">O98/N98*100</f>
        <v>3.5442914354442281</v>
      </c>
      <c r="Q98" s="14">
        <v>211.477</v>
      </c>
      <c r="R98" s="15">
        <f t="shared" ref="R98:R103" si="143">2*3.14158*Q98*(12*1180*0.004*0.15^4*0.91/2100000000/0.004^3)^0.5</f>
        <v>18.514264431098926</v>
      </c>
      <c r="S98" s="35">
        <f t="shared" ref="S98:S103" si="144">100*(R98-N98)/N98</f>
        <v>3.2630336937124431</v>
      </c>
      <c r="T98" s="194">
        <v>210.41900000000001</v>
      </c>
      <c r="U98" s="15">
        <f t="shared" ref="U98:U103" si="145">2*3.14158*T98*(12*1180*0.004*0.15^4*0.91/2100000000/0.004^3)^0.5</f>
        <v>18.421639267283936</v>
      </c>
      <c r="V98" s="35">
        <f t="shared" ref="V98:V103" si="146">100*(U98-N98)/N98</f>
        <v>2.7464182241911828</v>
      </c>
      <c r="W98" s="158">
        <v>1069.05</v>
      </c>
      <c r="X98" s="15">
        <f t="shared" ref="X98:X102" si="147">2*3.14158*W98*(12*1180*0.004*0.15^4*0.91/2100000000/0.004^3)^0.5</f>
        <v>93.592562737632477</v>
      </c>
      <c r="Y98" s="33">
        <f t="shared" ref="Y98:Y102" si="148">100*(X98-N98)/N98</f>
        <v>422.0111225819511</v>
      </c>
      <c r="AK98" s="3"/>
      <c r="AL98" s="3"/>
      <c r="AM98" s="3"/>
      <c r="AN98" s="3"/>
    </row>
    <row r="99" spans="1:45" x14ac:dyDescent="0.2">
      <c r="A99" s="14" t="s">
        <v>28</v>
      </c>
      <c r="B99" s="15">
        <v>249.8</v>
      </c>
      <c r="C99" s="23">
        <f t="shared" si="133"/>
        <v>6.2450000000000001</v>
      </c>
      <c r="D99" s="24">
        <f t="shared" si="134"/>
        <v>20.208897267919678</v>
      </c>
      <c r="E99" s="14" t="s">
        <v>28</v>
      </c>
      <c r="F99" s="78">
        <v>243.8</v>
      </c>
      <c r="G99" s="163">
        <f t="shared" si="135"/>
        <v>6.5013333333333341</v>
      </c>
      <c r="H99" s="24">
        <f t="shared" si="136"/>
        <v>21.366421637478357</v>
      </c>
      <c r="I99" s="14" t="s">
        <v>28</v>
      </c>
      <c r="J99" s="15">
        <v>266</v>
      </c>
      <c r="K99" s="23">
        <f t="shared" si="137"/>
        <v>6.333333333333333</v>
      </c>
      <c r="L99" s="25">
        <f t="shared" si="138"/>
        <v>21.507832851827899</v>
      </c>
      <c r="M99" s="26">
        <f t="shared" si="139"/>
        <v>246.8</v>
      </c>
      <c r="N99" s="27">
        <f t="shared" si="140"/>
        <v>20.787659452699017</v>
      </c>
      <c r="O99" s="28">
        <f t="shared" si="141"/>
        <v>0.71263518586639907</v>
      </c>
      <c r="P99" s="29">
        <f t="shared" si="142"/>
        <v>3.4281646160692341</v>
      </c>
      <c r="Q99" s="14">
        <v>238.54</v>
      </c>
      <c r="R99" s="15">
        <f t="shared" si="143"/>
        <v>20.883560091141529</v>
      </c>
      <c r="S99" s="33">
        <f t="shared" si="144"/>
        <v>0.46133446942753398</v>
      </c>
      <c r="T99" s="194">
        <v>238.97800000000001</v>
      </c>
      <c r="U99" s="15">
        <f t="shared" si="145"/>
        <v>20.92190585839197</v>
      </c>
      <c r="V99" s="33">
        <f t="shared" si="146"/>
        <v>0.64579856139370218</v>
      </c>
      <c r="W99" s="158">
        <v>232.68</v>
      </c>
      <c r="X99" s="15">
        <f t="shared" si="147"/>
        <v>20.37053224619272</v>
      </c>
      <c r="Y99" s="33">
        <f t="shared" si="148"/>
        <v>-2.0066097746860021</v>
      </c>
      <c r="AK99" s="3"/>
      <c r="AL99" s="3"/>
      <c r="AM99" s="3"/>
      <c r="AN99" s="3"/>
    </row>
    <row r="100" spans="1:45" x14ac:dyDescent="0.2">
      <c r="A100" s="14" t="s">
        <v>29</v>
      </c>
      <c r="B100" s="15">
        <v>376</v>
      </c>
      <c r="C100" s="23">
        <f t="shared" si="133"/>
        <v>9.4</v>
      </c>
      <c r="D100" s="24">
        <f t="shared" si="134"/>
        <v>30.418516303994391</v>
      </c>
      <c r="E100" s="14" t="s">
        <v>29</v>
      </c>
      <c r="F100" s="78">
        <v>394</v>
      </c>
      <c r="G100" s="163">
        <f t="shared" si="135"/>
        <v>10.506666666666666</v>
      </c>
      <c r="H100" s="24">
        <f t="shared" si="136"/>
        <v>34.529820037598334</v>
      </c>
      <c r="I100" s="14" t="s">
        <v>29</v>
      </c>
      <c r="J100" s="15">
        <v>416</v>
      </c>
      <c r="K100" s="23">
        <f t="shared" si="137"/>
        <v>9.9047619047619051</v>
      </c>
      <c r="L100" s="25">
        <f t="shared" si="138"/>
        <v>33.636310023911307</v>
      </c>
      <c r="M100" s="26">
        <f t="shared" si="139"/>
        <v>385</v>
      </c>
      <c r="N100" s="27">
        <f t="shared" si="140"/>
        <v>32.474168170796361</v>
      </c>
      <c r="O100" s="28">
        <f t="shared" si="141"/>
        <v>2.1623819797637305</v>
      </c>
      <c r="P100" s="29">
        <f t="shared" si="142"/>
        <v>6.658775579379844</v>
      </c>
      <c r="Q100" s="14">
        <v>386.21499999999997</v>
      </c>
      <c r="R100" s="15">
        <f t="shared" si="143"/>
        <v>33.812124426093007</v>
      </c>
      <c r="S100" s="35">
        <f t="shared" si="144"/>
        <v>4.1200632091936216</v>
      </c>
      <c r="T100" s="194">
        <v>383.642</v>
      </c>
      <c r="U100" s="15">
        <f t="shared" si="145"/>
        <v>33.586864930350124</v>
      </c>
      <c r="V100" s="35">
        <f t="shared" si="146"/>
        <v>3.4264057317852985</v>
      </c>
      <c r="W100" s="158">
        <v>3211.15</v>
      </c>
      <c r="X100" s="15">
        <f t="shared" si="147"/>
        <v>281.12787786815261</v>
      </c>
      <c r="AK100" s="3"/>
      <c r="AL100" s="3"/>
      <c r="AM100" s="3"/>
      <c r="AN100" s="3"/>
    </row>
    <row r="101" spans="1:45" x14ac:dyDescent="0.2">
      <c r="A101" s="14" t="s">
        <v>118</v>
      </c>
      <c r="B101" s="15">
        <v>478.8</v>
      </c>
      <c r="C101" s="23">
        <f t="shared" si="133"/>
        <v>11.97</v>
      </c>
      <c r="D101" s="24">
        <f t="shared" si="134"/>
        <v>38.735068102001371</v>
      </c>
      <c r="E101" s="14" t="s">
        <v>118</v>
      </c>
      <c r="F101" s="78">
        <v>496.5</v>
      </c>
      <c r="G101" s="163">
        <f t="shared" si="135"/>
        <v>13.24</v>
      </c>
      <c r="H101" s="24">
        <f t="shared" si="136"/>
        <v>43.512831595602968</v>
      </c>
      <c r="I101" s="14" t="s">
        <v>118</v>
      </c>
      <c r="J101" s="15">
        <v>532</v>
      </c>
      <c r="K101" s="23">
        <f t="shared" si="137"/>
        <v>12.666666666666666</v>
      </c>
      <c r="L101" s="25">
        <f t="shared" si="138"/>
        <v>43.015665703655799</v>
      </c>
      <c r="M101" s="26">
        <f t="shared" si="139"/>
        <v>487.65</v>
      </c>
      <c r="N101" s="27">
        <f t="shared" si="140"/>
        <v>41.12394984880217</v>
      </c>
      <c r="O101" s="28">
        <f t="shared" si="141"/>
        <v>2.6267125763393997</v>
      </c>
      <c r="P101" s="29">
        <f t="shared" si="142"/>
        <v>6.3873061464107126</v>
      </c>
      <c r="Q101" s="14">
        <v>485.26900000000001</v>
      </c>
      <c r="R101" s="15">
        <f t="shared" si="143"/>
        <v>42.484045954004195</v>
      </c>
      <c r="S101" s="33">
        <f t="shared" si="144"/>
        <v>3.3073090260118612</v>
      </c>
      <c r="T101" s="194">
        <v>481.33600000000001</v>
      </c>
      <c r="U101" s="15">
        <f t="shared" si="145"/>
        <v>42.139721975474551</v>
      </c>
      <c r="V101" s="33">
        <f t="shared" si="146"/>
        <v>2.4700256916152421</v>
      </c>
      <c r="W101" s="158">
        <v>5343.09</v>
      </c>
      <c r="X101" s="15">
        <f t="shared" si="147"/>
        <v>467.77371127432463</v>
      </c>
      <c r="Y101" s="33">
        <f t="shared" si="148"/>
        <v>1037.4727208698548</v>
      </c>
      <c r="AK101" s="3"/>
      <c r="AL101" s="3"/>
      <c r="AM101" s="3"/>
      <c r="AN101" s="3"/>
    </row>
    <row r="102" spans="1:45" x14ac:dyDescent="0.2">
      <c r="A102" s="14" t="s">
        <v>119</v>
      </c>
      <c r="B102" s="15">
        <v>556.29999999999995</v>
      </c>
      <c r="C102" s="23">
        <f t="shared" si="133"/>
        <v>13.907499999999999</v>
      </c>
      <c r="D102" s="24">
        <f t="shared" si="134"/>
        <v>45.004842074234254</v>
      </c>
      <c r="E102" s="14" t="s">
        <v>119</v>
      </c>
      <c r="F102" s="78">
        <v>559.5</v>
      </c>
      <c r="G102" s="163">
        <f t="shared" si="135"/>
        <v>14.92</v>
      </c>
      <c r="H102" s="24">
        <f t="shared" si="136"/>
        <v>49.034097236132652</v>
      </c>
      <c r="I102" s="14" t="s">
        <v>119</v>
      </c>
      <c r="J102" s="15">
        <v>618</v>
      </c>
      <c r="K102" s="23">
        <f t="shared" si="137"/>
        <v>14.714285714285714</v>
      </c>
      <c r="L102" s="25">
        <f t="shared" si="138"/>
        <v>49.969325948983624</v>
      </c>
      <c r="M102" s="26">
        <f t="shared" si="139"/>
        <v>557.9</v>
      </c>
      <c r="N102" s="27">
        <f t="shared" si="140"/>
        <v>47.019469655183457</v>
      </c>
      <c r="O102" s="28">
        <f t="shared" si="141"/>
        <v>2.6380437843116593</v>
      </c>
      <c r="P102" s="29">
        <f t="shared" si="142"/>
        <v>5.6105349627669385</v>
      </c>
      <c r="Q102" s="14">
        <v>550.99599999999998</v>
      </c>
      <c r="R102" s="15">
        <f t="shared" si="143"/>
        <v>48.238274821743175</v>
      </c>
      <c r="S102" s="33">
        <f t="shared" si="144"/>
        <v>2.5921286979581164</v>
      </c>
      <c r="T102" s="194">
        <v>543.31500000000005</v>
      </c>
      <c r="U102" s="15">
        <f t="shared" si="145"/>
        <v>47.565823136239466</v>
      </c>
      <c r="V102" s="33">
        <f t="shared" si="146"/>
        <v>1.1619728700954812</v>
      </c>
      <c r="W102" s="158">
        <v>7506.58</v>
      </c>
      <c r="X102" s="15">
        <f t="shared" si="147"/>
        <v>657.18166558632174</v>
      </c>
      <c r="Y102" s="33">
        <f t="shared" si="148"/>
        <v>1297.6798768802651</v>
      </c>
      <c r="AK102" s="3"/>
      <c r="AL102" s="3"/>
      <c r="AM102" s="3"/>
      <c r="AN102" s="3"/>
    </row>
    <row r="103" spans="1:45" ht="15.75" thickBot="1" x14ac:dyDescent="0.25">
      <c r="A103" s="168" t="s">
        <v>31</v>
      </c>
      <c r="B103" s="169">
        <v>702.8</v>
      </c>
      <c r="C103" s="23">
        <f t="shared" si="133"/>
        <v>17.57</v>
      </c>
      <c r="D103" s="24">
        <f t="shared" si="134"/>
        <v>56.856737389487392</v>
      </c>
      <c r="E103" s="168" t="s">
        <v>31</v>
      </c>
      <c r="F103" s="170">
        <v>756.8</v>
      </c>
      <c r="G103" s="163">
        <f t="shared" si="135"/>
        <v>20.181333333333331</v>
      </c>
      <c r="H103" s="24">
        <f t="shared" si="136"/>
        <v>66.325298996077194</v>
      </c>
      <c r="I103" s="168" t="s">
        <v>31</v>
      </c>
      <c r="J103" s="169">
        <v>790</v>
      </c>
      <c r="K103" s="246">
        <f t="shared" si="137"/>
        <v>18.80952380952381</v>
      </c>
      <c r="L103" s="25">
        <f t="shared" si="138"/>
        <v>63.876646439639259</v>
      </c>
      <c r="M103" s="171">
        <f t="shared" si="139"/>
        <v>729.8</v>
      </c>
      <c r="N103" s="172">
        <f t="shared" si="140"/>
        <v>61.591018192782293</v>
      </c>
      <c r="O103" s="173">
        <f t="shared" si="141"/>
        <v>4.9147512875753367</v>
      </c>
      <c r="P103" s="174">
        <f>O103/N103*100</f>
        <v>7.9796558520789072</v>
      </c>
      <c r="Q103" s="61">
        <v>727.96100000000001</v>
      </c>
      <c r="R103" s="62">
        <f t="shared" si="143"/>
        <v>63.731102907300574</v>
      </c>
      <c r="S103" s="183">
        <f t="shared" si="144"/>
        <v>3.4746701342389441</v>
      </c>
      <c r="T103" s="235">
        <v>726.19500000000005</v>
      </c>
      <c r="U103" s="62">
        <f t="shared" si="145"/>
        <v>63.57649417450542</v>
      </c>
      <c r="V103" s="183">
        <f t="shared" si="146"/>
        <v>3.2236453300845094</v>
      </c>
      <c r="W103" s="210" t="s">
        <v>60</v>
      </c>
      <c r="X103" s="62" t="s">
        <v>60</v>
      </c>
      <c r="Y103" s="211" t="s">
        <v>60</v>
      </c>
      <c r="AK103" s="3"/>
      <c r="AL103" s="3"/>
      <c r="AM103" s="3"/>
      <c r="AN103" s="3"/>
    </row>
    <row r="104" spans="1:45" x14ac:dyDescent="0.2">
      <c r="A104" s="52" t="s">
        <v>33</v>
      </c>
      <c r="B104" s="53" t="s">
        <v>34</v>
      </c>
      <c r="C104" s="54" t="s">
        <v>35</v>
      </c>
      <c r="D104" s="55" t="s">
        <v>36</v>
      </c>
      <c r="E104" s="52" t="s">
        <v>33</v>
      </c>
      <c r="F104" s="53" t="s">
        <v>34</v>
      </c>
      <c r="G104" s="54" t="s">
        <v>35</v>
      </c>
      <c r="H104" s="55" t="s">
        <v>36</v>
      </c>
      <c r="I104" s="52" t="s">
        <v>33</v>
      </c>
      <c r="J104" s="53" t="s">
        <v>34</v>
      </c>
      <c r="K104" s="54" t="s">
        <v>35</v>
      </c>
      <c r="L104" s="55" t="s">
        <v>36</v>
      </c>
      <c r="O104" s="57"/>
      <c r="P104" s="247"/>
      <c r="R104" s="57"/>
      <c r="AG104" s="3"/>
      <c r="AH104" s="3"/>
      <c r="AI104" s="3"/>
      <c r="AJ104" s="3"/>
      <c r="AK104" s="3"/>
      <c r="AL104" s="3"/>
      <c r="AM104" s="3"/>
      <c r="AN104" s="3"/>
    </row>
    <row r="105" spans="1:45" x14ac:dyDescent="0.2">
      <c r="A105" s="14" t="s">
        <v>37</v>
      </c>
      <c r="B105" s="15">
        <v>800</v>
      </c>
      <c r="C105" s="58">
        <v>0</v>
      </c>
      <c r="D105" s="129">
        <v>0.25</v>
      </c>
      <c r="E105" s="14" t="s">
        <v>37</v>
      </c>
      <c r="F105" s="15">
        <v>800</v>
      </c>
      <c r="G105" s="58">
        <v>0</v>
      </c>
      <c r="H105" s="129">
        <v>0.25</v>
      </c>
      <c r="I105" s="14" t="s">
        <v>37</v>
      </c>
      <c r="J105" s="15">
        <v>800</v>
      </c>
      <c r="K105" s="58">
        <v>0</v>
      </c>
      <c r="L105" s="59">
        <v>0.25</v>
      </c>
      <c r="O105" s="57"/>
      <c r="P105" s="247"/>
      <c r="R105" s="57"/>
      <c r="AG105" s="3"/>
      <c r="AH105" s="3"/>
      <c r="AI105" s="3"/>
      <c r="AJ105" s="3"/>
      <c r="AK105" s="3"/>
      <c r="AL105" s="3"/>
      <c r="AM105" s="3"/>
      <c r="AN105" s="3"/>
    </row>
    <row r="106" spans="1:45" x14ac:dyDescent="0.2">
      <c r="A106" s="14"/>
      <c r="B106" s="60" t="s">
        <v>38</v>
      </c>
      <c r="C106" s="58" t="s">
        <v>39</v>
      </c>
      <c r="D106" s="59" t="s">
        <v>40</v>
      </c>
      <c r="E106" s="14"/>
      <c r="F106" s="60" t="s">
        <v>38</v>
      </c>
      <c r="G106" s="58" t="s">
        <v>39</v>
      </c>
      <c r="H106" s="59" t="s">
        <v>40</v>
      </c>
      <c r="I106" s="14"/>
      <c r="J106" s="60" t="s">
        <v>38</v>
      </c>
      <c r="K106" s="58" t="s">
        <v>39</v>
      </c>
      <c r="L106" s="59" t="s">
        <v>40</v>
      </c>
      <c r="O106" s="57"/>
      <c r="P106" s="247"/>
      <c r="R106" s="57"/>
      <c r="AG106" s="3"/>
      <c r="AH106" s="3"/>
      <c r="AI106" s="3"/>
      <c r="AJ106" s="3"/>
      <c r="AK106" s="3"/>
      <c r="AL106" s="3"/>
      <c r="AM106" s="3"/>
      <c r="AN106" s="3"/>
    </row>
    <row r="107" spans="1:45" ht="15.75" thickBot="1" x14ac:dyDescent="0.25">
      <c r="A107" s="61" t="s">
        <v>41</v>
      </c>
      <c r="B107" s="62">
        <v>7</v>
      </c>
      <c r="C107" s="63">
        <v>5</v>
      </c>
      <c r="D107" s="141" t="s">
        <v>120</v>
      </c>
      <c r="E107" s="61" t="s">
        <v>41</v>
      </c>
      <c r="F107" s="62">
        <v>7</v>
      </c>
      <c r="G107" s="63">
        <v>5</v>
      </c>
      <c r="H107" s="141" t="s">
        <v>120</v>
      </c>
      <c r="I107" s="61" t="s">
        <v>41</v>
      </c>
      <c r="J107" s="62">
        <v>7</v>
      </c>
      <c r="K107" s="63">
        <v>5</v>
      </c>
      <c r="L107" s="64" t="s">
        <v>120</v>
      </c>
      <c r="O107" s="57"/>
      <c r="P107" s="247"/>
      <c r="R107" s="57"/>
      <c r="AG107" s="3"/>
      <c r="AH107" s="3"/>
      <c r="AI107" s="3"/>
      <c r="AJ107" s="3"/>
      <c r="AK107" s="3"/>
      <c r="AL107" s="3"/>
      <c r="AM107" s="3"/>
      <c r="AN107" s="3"/>
    </row>
    <row r="108" spans="1:45" x14ac:dyDescent="0.2">
      <c r="C108" s="56"/>
      <c r="D108" s="56"/>
      <c r="G108" s="56"/>
      <c r="H108" s="56"/>
      <c r="K108" s="56"/>
      <c r="L108" s="56"/>
      <c r="O108" s="57"/>
      <c r="P108" s="247"/>
      <c r="R108" s="57"/>
      <c r="AG108" s="3"/>
      <c r="AH108" s="3"/>
      <c r="AI108" s="3"/>
      <c r="AJ108" s="3"/>
      <c r="AK108" s="3"/>
      <c r="AL108" s="3"/>
      <c r="AM108" s="3"/>
      <c r="AN108" s="3"/>
    </row>
    <row r="109" spans="1:45" ht="15.75" thickBot="1" x14ac:dyDescent="0.25">
      <c r="C109" s="56"/>
      <c r="D109" s="56"/>
      <c r="G109" s="56"/>
      <c r="H109" s="56"/>
      <c r="K109" s="56"/>
      <c r="L109" s="56"/>
      <c r="O109" s="57"/>
      <c r="P109" s="247"/>
      <c r="R109" s="57"/>
      <c r="AG109" s="3"/>
      <c r="AH109" s="3"/>
      <c r="AI109" s="3"/>
      <c r="AJ109" s="3"/>
      <c r="AK109" s="3"/>
      <c r="AL109" s="3"/>
      <c r="AM109" s="3"/>
      <c r="AN109" s="3"/>
    </row>
    <row r="110" spans="1:45" ht="25.5" customHeight="1" x14ac:dyDescent="0.2">
      <c r="A110" s="4" t="s">
        <v>121</v>
      </c>
      <c r="B110" s="5" t="s">
        <v>122</v>
      </c>
      <c r="C110" s="5" t="s">
        <v>92</v>
      </c>
      <c r="D110" s="5"/>
      <c r="E110" s="4" t="s">
        <v>123</v>
      </c>
      <c r="F110" s="5" t="s">
        <v>122</v>
      </c>
      <c r="G110" s="5" t="s">
        <v>92</v>
      </c>
      <c r="H110" s="153"/>
      <c r="I110" s="4" t="s">
        <v>124</v>
      </c>
      <c r="J110" s="5" t="s">
        <v>122</v>
      </c>
      <c r="K110" s="5" t="s">
        <v>92</v>
      </c>
      <c r="L110" s="153"/>
      <c r="M110" s="65" t="s">
        <v>6</v>
      </c>
      <c r="N110" s="66"/>
      <c r="O110" s="70"/>
      <c r="P110" s="71"/>
      <c r="Q110" s="222" t="s">
        <v>125</v>
      </c>
      <c r="R110" s="73" t="s">
        <v>126</v>
      </c>
      <c r="S110" s="149" t="s">
        <v>49</v>
      </c>
      <c r="T110" s="150"/>
      <c r="U110" s="149"/>
      <c r="V110" s="149"/>
      <c r="W110" s="149"/>
      <c r="X110" s="150"/>
      <c r="Y110" s="76"/>
      <c r="Z110" s="152"/>
      <c r="AA110" s="65" t="s">
        <v>7</v>
      </c>
      <c r="AB110" s="68"/>
      <c r="AC110" s="67"/>
      <c r="AD110" s="65"/>
      <c r="AE110" s="68"/>
      <c r="AF110" s="67"/>
      <c r="AG110" s="4"/>
      <c r="AH110" s="6"/>
      <c r="AI110" s="7"/>
      <c r="AJ110" s="13"/>
      <c r="AM110" s="13"/>
      <c r="AO110" s="2"/>
      <c r="AP110" s="2"/>
      <c r="AQ110" s="13"/>
      <c r="AR110" s="2"/>
      <c r="AS110" s="2"/>
    </row>
    <row r="111" spans="1:45" x14ac:dyDescent="0.2">
      <c r="A111" s="14" t="s">
        <v>8</v>
      </c>
      <c r="B111" s="15" t="s">
        <v>9</v>
      </c>
      <c r="C111" s="15" t="s">
        <v>10</v>
      </c>
      <c r="D111" s="16" t="s">
        <v>11</v>
      </c>
      <c r="E111" s="14" t="s">
        <v>8</v>
      </c>
      <c r="F111" s="15" t="s">
        <v>9</v>
      </c>
      <c r="G111" s="15" t="s">
        <v>10</v>
      </c>
      <c r="H111" s="16" t="s">
        <v>11</v>
      </c>
      <c r="I111" s="194" t="s">
        <v>8</v>
      </c>
      <c r="J111" s="78" t="s">
        <v>9</v>
      </c>
      <c r="K111" s="78" t="s">
        <v>10</v>
      </c>
      <c r="L111" s="16" t="s">
        <v>11</v>
      </c>
      <c r="M111" s="14" t="s">
        <v>12</v>
      </c>
      <c r="N111" s="15" t="s">
        <v>13</v>
      </c>
      <c r="O111" s="15" t="s">
        <v>127</v>
      </c>
      <c r="P111" s="16" t="s">
        <v>15</v>
      </c>
      <c r="Q111" s="83" t="s">
        <v>8</v>
      </c>
      <c r="R111" s="81" t="s">
        <v>50</v>
      </c>
      <c r="S111" s="81" t="s">
        <v>51</v>
      </c>
      <c r="T111" s="81" t="s">
        <v>52</v>
      </c>
      <c r="U111" s="81" t="s">
        <v>53</v>
      </c>
      <c r="V111" s="81" t="s">
        <v>54</v>
      </c>
      <c r="W111" s="81" t="s">
        <v>10</v>
      </c>
      <c r="X111" s="82" t="s">
        <v>11</v>
      </c>
      <c r="Y111" s="83" t="s">
        <v>55</v>
      </c>
      <c r="Z111" s="159" t="s">
        <v>56</v>
      </c>
      <c r="AA111" s="14" t="s">
        <v>87</v>
      </c>
      <c r="AB111" s="15" t="s">
        <v>80</v>
      </c>
      <c r="AC111" s="22" t="s">
        <v>19</v>
      </c>
      <c r="AD111" s="14" t="s">
        <v>88</v>
      </c>
      <c r="AE111" s="15" t="s">
        <v>80</v>
      </c>
      <c r="AF111" s="22" t="s">
        <v>19</v>
      </c>
      <c r="AG111" s="14" t="s">
        <v>89</v>
      </c>
      <c r="AH111" s="15" t="s">
        <v>80</v>
      </c>
      <c r="AI111" s="22" t="s">
        <v>19</v>
      </c>
      <c r="AO111" s="2"/>
      <c r="AP111" s="2"/>
      <c r="AQ111" s="2"/>
      <c r="AR111" s="2"/>
      <c r="AS111" s="2"/>
    </row>
    <row r="112" spans="1:45" x14ac:dyDescent="0.2">
      <c r="A112" s="14" t="s">
        <v>26</v>
      </c>
      <c r="B112" s="15">
        <v>20.75</v>
      </c>
      <c r="C112" s="23">
        <f>B112/20.75</f>
        <v>1</v>
      </c>
      <c r="D112" s="24">
        <f>2*3.14158*B112*(12*1180*0.003981*0.1964^4*0.91/2100000000/0.003981^3)^0.5</f>
        <v>3.1291737973691776</v>
      </c>
      <c r="E112" s="14" t="s">
        <v>26</v>
      </c>
      <c r="F112" s="15">
        <v>21</v>
      </c>
      <c r="G112" s="23">
        <f>F112/21</f>
        <v>1</v>
      </c>
      <c r="H112" s="24">
        <f>2*3.14158*F112*(12*1180*0.003973*0.1984^4*0.91/2100000000/0.003973^3)^0.5</f>
        <v>3.2382088837830065</v>
      </c>
      <c r="I112" s="194" t="s">
        <v>26</v>
      </c>
      <c r="J112" s="78">
        <v>21</v>
      </c>
      <c r="K112" s="163">
        <f>J112/21</f>
        <v>1</v>
      </c>
      <c r="L112" s="24">
        <f>2*3.14158*J112*(12*1180*0.00396*0.1946^4*0.91/2100000000/0.00396^3)^0.5</f>
        <v>3.1255796833810692</v>
      </c>
      <c r="M112" s="26">
        <f>AVERAGE(B112,F112)</f>
        <v>20.875</v>
      </c>
      <c r="N112" s="27">
        <f>AVERAGE(D112,H112,L112)</f>
        <v>3.1643207881777511</v>
      </c>
      <c r="O112" s="28">
        <f>STDEV(D112,H112,L112)</f>
        <v>6.4014197003230508E-2</v>
      </c>
      <c r="P112" s="29">
        <f>O112/N112*100</f>
        <v>2.0229996036556899</v>
      </c>
      <c r="Q112" s="83" t="s">
        <v>103</v>
      </c>
      <c r="R112" s="81">
        <v>68.75</v>
      </c>
      <c r="S112" s="81">
        <v>68.75</v>
      </c>
      <c r="T112" s="81">
        <v>68.75</v>
      </c>
      <c r="U112" s="81">
        <f t="shared" ref="U112:U118" si="149">AVERAGE(R112:T112)</f>
        <v>68.75</v>
      </c>
      <c r="V112" s="81">
        <f t="shared" ref="V112:V118" si="150">STDEV(R112:T112)</f>
        <v>0</v>
      </c>
      <c r="W112" s="90">
        <f>R112/68.75</f>
        <v>1</v>
      </c>
      <c r="X112" s="88">
        <f>2*3.14158*U112*(12*2714.177*0.004*(0.05*4)^4/62000000000/0.004^3)^0.5</f>
        <v>3.1308674599451209</v>
      </c>
      <c r="Y112" s="89">
        <f>N112</f>
        <v>3.1643207881777511</v>
      </c>
      <c r="Z112" s="227">
        <f>(Y112-X112)/X112*100</f>
        <v>1.0685003009746226</v>
      </c>
      <c r="AA112" s="14">
        <v>20.801300000000001</v>
      </c>
      <c r="AB112" s="15">
        <f>2*3.14158*AA112*(12*1185*0.004*0.2^4*0.91/2100000000/0.004^3)^0.5</f>
        <v>3.2443630279296549</v>
      </c>
      <c r="AC112" s="33">
        <f>100*(AB112-N112)/N112</f>
        <v>2.5295235568704162</v>
      </c>
      <c r="AD112" s="194">
        <v>20.955200000000001</v>
      </c>
      <c r="AE112" s="15">
        <f>2*3.14158*AD112*(12*1185*0.004*0.2^4*0.91/2100000000/0.004^3)^0.5</f>
        <v>3.2683666945273373</v>
      </c>
      <c r="AF112" s="33">
        <f>100*(AE112-N112)/N112</f>
        <v>3.2880960343310677</v>
      </c>
      <c r="AG112" s="14">
        <v>20.933</v>
      </c>
      <c r="AH112" s="15">
        <f>2*3.14158*AG112*(12*1185*0.004*0.2^4*0.91/2100000000/0.004^3)^0.5</f>
        <v>3.2649041773183143</v>
      </c>
      <c r="AI112" s="33">
        <f>100*(AH112-N112)/N112</f>
        <v>3.1786723241320458</v>
      </c>
      <c r="AO112" s="2"/>
      <c r="AP112" s="2"/>
      <c r="AQ112" s="2"/>
      <c r="AR112" s="2"/>
      <c r="AS112" s="2"/>
    </row>
    <row r="113" spans="1:45" x14ac:dyDescent="0.2">
      <c r="A113" s="14" t="s">
        <v>28</v>
      </c>
      <c r="B113" s="15">
        <v>128.5</v>
      </c>
      <c r="C113" s="23">
        <f t="shared" ref="C113:C119" si="151">B113/20.75</f>
        <v>6.1927710843373491</v>
      </c>
      <c r="D113" s="24">
        <f t="shared" ref="D113:D119" si="152">2*3.14158*B113*(12*1180*0.003981*0.1964^4*0.91/2100000000/0.003981^3)^0.5</f>
        <v>19.378257010213943</v>
      </c>
      <c r="E113" s="14" t="s">
        <v>28</v>
      </c>
      <c r="F113" s="15">
        <v>129.5</v>
      </c>
      <c r="G113" s="23">
        <f t="shared" ref="G113:G119" si="153">F113/21</f>
        <v>6.166666666666667</v>
      </c>
      <c r="H113" s="24">
        <f t="shared" ref="H113:H119" si="154">2*3.14158*F113*(12*1180*0.003973*0.1984^4*0.91/2100000000/0.003973^3)^0.5</f>
        <v>19.968954783328542</v>
      </c>
      <c r="I113" s="194" t="s">
        <v>28</v>
      </c>
      <c r="J113" s="78">
        <v>129.80000000000001</v>
      </c>
      <c r="K113" s="163">
        <f t="shared" ref="K113:K119" si="155">J113/21</f>
        <v>6.1809523809523812</v>
      </c>
      <c r="L113" s="24">
        <f t="shared" ref="L113:L119" si="156">2*3.14158*J113*(12*1180*0.00396*0.1946^4*0.91/2100000000/0.00396^3)^0.5</f>
        <v>19.319059185850609</v>
      </c>
      <c r="M113" s="26">
        <f t="shared" ref="M113:M119" si="157">AVERAGE(B113,F113)</f>
        <v>129</v>
      </c>
      <c r="N113" s="27">
        <f t="shared" ref="N113:N119" si="158">AVERAGE(D113,H113,L113)</f>
        <v>19.555423659797697</v>
      </c>
      <c r="O113" s="28">
        <f t="shared" ref="O113:O119" si="159">STDEV(D113,H113,L113)</f>
        <v>0.35934953485269677</v>
      </c>
      <c r="P113" s="29">
        <f t="shared" ref="P113:P119" si="160">O113/N113*100</f>
        <v>1.8375952426510318</v>
      </c>
      <c r="Q113" s="83" t="s">
        <v>104</v>
      </c>
      <c r="R113" s="81">
        <v>423.1</v>
      </c>
      <c r="S113" s="81">
        <v>423.1</v>
      </c>
      <c r="T113" s="81">
        <v>423.1</v>
      </c>
      <c r="U113" s="81">
        <f t="shared" si="149"/>
        <v>423.10000000000008</v>
      </c>
      <c r="V113" s="81">
        <v>0</v>
      </c>
      <c r="W113" s="90">
        <f t="shared" ref="W113:W118" si="161">R113/68.75</f>
        <v>6.1541818181818186</v>
      </c>
      <c r="X113" s="88">
        <f t="shared" ref="X113:X118" si="162">2*3.14158*U113*(12*2714.177*0.004*(0.05*4)^4/62000000000/0.004^3)^0.5</f>
        <v>19.267927597131358</v>
      </c>
      <c r="Y113" s="89">
        <f t="shared" ref="Y113:Y118" si="163">N113</f>
        <v>19.555423659797697</v>
      </c>
      <c r="Z113" s="227">
        <f t="shared" ref="Z113:Z118" si="164">(Y113-X113)/X113*100</f>
        <v>1.49209644481507</v>
      </c>
      <c r="AA113" s="14">
        <v>128.09700000000001</v>
      </c>
      <c r="AB113" s="15">
        <f t="shared" ref="AB113:AB119" si="165">2*3.14158*AA113*(12*1185*0.004*0.2^4*0.91/2100000000/0.004^3)^0.5</f>
        <v>19.979192203790387</v>
      </c>
      <c r="AC113" s="33">
        <f t="shared" ref="AC113:AC119" si="166">100*(AB113-N113)/N113</f>
        <v>2.1670128521116063</v>
      </c>
      <c r="AD113" s="194">
        <v>128.34899999999999</v>
      </c>
      <c r="AE113" s="15">
        <f t="shared" ref="AE113:AE119" si="167">2*3.14158*AD113*(12*1185*0.004*0.2^4*0.91/2100000000/0.004^3)^0.5</f>
        <v>20.0184964531901</v>
      </c>
      <c r="AF113" s="33">
        <f t="shared" ref="AF113:AF119" si="168">100*(AE113-N113)/N113</f>
        <v>2.3680018466917394</v>
      </c>
      <c r="AG113" s="14">
        <v>131.02500000000001</v>
      </c>
      <c r="AH113" s="15">
        <f t="shared" ref="AH113:AH117" si="169">2*3.14158*AG113*(12*1185*0.004*0.2^4*0.91/2100000000/0.004^3)^0.5</f>
        <v>20.435870149196589</v>
      </c>
      <c r="AI113" s="33">
        <f t="shared" ref="AI113:AI117" si="170">100*(AH113-N113)/N113</f>
        <v>4.5023135510427519</v>
      </c>
      <c r="AO113" s="2"/>
      <c r="AP113" s="2"/>
      <c r="AQ113" s="2"/>
      <c r="AR113" s="2"/>
      <c r="AS113" s="2"/>
    </row>
    <row r="114" spans="1:45" x14ac:dyDescent="0.2">
      <c r="A114" s="14" t="s">
        <v>27</v>
      </c>
      <c r="B114" s="15">
        <v>174.5</v>
      </c>
      <c r="C114" s="23">
        <f t="shared" si="151"/>
        <v>8.4096385542168672</v>
      </c>
      <c r="D114" s="24">
        <f t="shared" si="152"/>
        <v>26.315220609201035</v>
      </c>
      <c r="E114" s="14" t="s">
        <v>27</v>
      </c>
      <c r="F114" s="15">
        <v>176.3</v>
      </c>
      <c r="G114" s="23">
        <f t="shared" si="153"/>
        <v>8.3952380952380956</v>
      </c>
      <c r="H114" s="24">
        <f t="shared" si="154"/>
        <v>27.185534581473526</v>
      </c>
      <c r="I114" s="194" t="s">
        <v>27</v>
      </c>
      <c r="J114" s="78">
        <v>184</v>
      </c>
      <c r="K114" s="163">
        <f t="shared" si="155"/>
        <v>8.7619047619047628</v>
      </c>
      <c r="L114" s="24">
        <f t="shared" si="156"/>
        <v>27.386031511529364</v>
      </c>
      <c r="M114" s="26">
        <f t="shared" si="157"/>
        <v>175.4</v>
      </c>
      <c r="N114" s="27">
        <f t="shared" si="158"/>
        <v>26.962262234067975</v>
      </c>
      <c r="O114" s="28">
        <f t="shared" si="159"/>
        <v>0.56925117740176134</v>
      </c>
      <c r="P114" s="29">
        <f t="shared" si="160"/>
        <v>2.1112886317175867</v>
      </c>
      <c r="Q114" s="83" t="s">
        <v>105</v>
      </c>
      <c r="R114" s="81">
        <v>598.1</v>
      </c>
      <c r="S114" s="81">
        <v>598.1</v>
      </c>
      <c r="T114" s="81">
        <v>598.1</v>
      </c>
      <c r="U114" s="81">
        <f t="shared" si="149"/>
        <v>598.1</v>
      </c>
      <c r="V114" s="81">
        <f t="shared" si="150"/>
        <v>0</v>
      </c>
      <c r="W114" s="90">
        <f t="shared" si="161"/>
        <v>8.6996363636363636</v>
      </c>
      <c r="X114" s="88">
        <f t="shared" si="162"/>
        <v>27.237408404264393</v>
      </c>
      <c r="Y114" s="89">
        <f t="shared" si="163"/>
        <v>26.962262234067975</v>
      </c>
      <c r="Z114" s="227">
        <f t="shared" si="164"/>
        <v>-1.0101774960107448</v>
      </c>
      <c r="AA114" s="14">
        <v>177.363</v>
      </c>
      <c r="AB114" s="15">
        <f t="shared" si="165"/>
        <v>27.663172961434494</v>
      </c>
      <c r="AC114" s="35">
        <f t="shared" si="166"/>
        <v>2.5995991036719781</v>
      </c>
      <c r="AD114" s="194">
        <v>174.77799999999999</v>
      </c>
      <c r="AE114" s="15">
        <f t="shared" si="167"/>
        <v>27.259992466600121</v>
      </c>
      <c r="AF114" s="35">
        <f t="shared" si="168"/>
        <v>1.1042479668339962</v>
      </c>
      <c r="AG114" s="14">
        <v>795.68</v>
      </c>
      <c r="AH114" s="15">
        <f t="shared" si="169"/>
        <v>124.10160778716076</v>
      </c>
      <c r="AI114" s="33">
        <f t="shared" si="170"/>
        <v>360.27891394941281</v>
      </c>
      <c r="AO114" s="2"/>
      <c r="AP114" s="2"/>
      <c r="AQ114" s="2"/>
      <c r="AR114" s="2"/>
      <c r="AS114" s="2"/>
    </row>
    <row r="115" spans="1:45" x14ac:dyDescent="0.2">
      <c r="A115" s="14" t="s">
        <v>29</v>
      </c>
      <c r="B115" s="15">
        <v>320.5</v>
      </c>
      <c r="C115" s="23">
        <f t="shared" si="151"/>
        <v>15.445783132530121</v>
      </c>
      <c r="D115" s="24">
        <f t="shared" si="152"/>
        <v>48.332539858160068</v>
      </c>
      <c r="E115" s="14" t="s">
        <v>29</v>
      </c>
      <c r="F115" s="15">
        <v>323</v>
      </c>
      <c r="G115" s="23">
        <f t="shared" si="153"/>
        <v>15.380952380952381</v>
      </c>
      <c r="H115" s="24">
        <f t="shared" si="154"/>
        <v>49.806736641043386</v>
      </c>
      <c r="I115" s="194" t="s">
        <v>29</v>
      </c>
      <c r="J115" s="78">
        <v>322.5</v>
      </c>
      <c r="K115" s="163">
        <f t="shared" si="155"/>
        <v>15.357142857142858</v>
      </c>
      <c r="L115" s="24">
        <f t="shared" si="156"/>
        <v>47.999973709066417</v>
      </c>
      <c r="M115" s="26">
        <f t="shared" si="157"/>
        <v>321.75</v>
      </c>
      <c r="N115" s="27">
        <f t="shared" si="158"/>
        <v>48.713083402756617</v>
      </c>
      <c r="O115" s="28">
        <f t="shared" si="159"/>
        <v>0.96161744737295962</v>
      </c>
      <c r="P115" s="29">
        <f t="shared" si="160"/>
        <v>1.974043481137026</v>
      </c>
      <c r="Q115" s="83" t="s">
        <v>107</v>
      </c>
      <c r="R115" s="81">
        <v>1068</v>
      </c>
      <c r="S115" s="81">
        <v>1068</v>
      </c>
      <c r="T115" s="81">
        <v>1068</v>
      </c>
      <c r="U115" s="81">
        <f t="shared" si="149"/>
        <v>1068</v>
      </c>
      <c r="V115" s="81">
        <f t="shared" si="150"/>
        <v>0</v>
      </c>
      <c r="W115" s="90">
        <f t="shared" si="161"/>
        <v>15.534545454545455</v>
      </c>
      <c r="X115" s="88">
        <f t="shared" si="162"/>
        <v>48.63660286867475</v>
      </c>
      <c r="Y115" s="89">
        <f t="shared" si="163"/>
        <v>48.713083402756617</v>
      </c>
      <c r="Z115" s="227">
        <f t="shared" si="164"/>
        <v>0.15724892276784702</v>
      </c>
      <c r="AA115" s="14">
        <v>323.30799999999999</v>
      </c>
      <c r="AB115" s="15">
        <f t="shared" si="165"/>
        <v>50.426104225883989</v>
      </c>
      <c r="AC115" s="33">
        <f t="shared" si="166"/>
        <v>3.5165518244128124</v>
      </c>
      <c r="AD115" s="194">
        <v>319.851</v>
      </c>
      <c r="AE115" s="15">
        <f t="shared" si="167"/>
        <v>49.886918550587119</v>
      </c>
      <c r="AF115" s="33">
        <f t="shared" si="168"/>
        <v>2.4096917415908763</v>
      </c>
      <c r="AG115" s="14">
        <v>2383.61</v>
      </c>
      <c r="AH115" s="15">
        <f t="shared" si="169"/>
        <v>371.769848855764</v>
      </c>
      <c r="AI115" s="33">
        <f t="shared" si="170"/>
        <v>663.182748630373</v>
      </c>
      <c r="AO115" s="2"/>
      <c r="AP115" s="2"/>
      <c r="AQ115" s="2"/>
      <c r="AR115" s="2"/>
      <c r="AS115" s="2"/>
    </row>
    <row r="116" spans="1:45" x14ac:dyDescent="0.2">
      <c r="A116" s="14" t="s">
        <v>61</v>
      </c>
      <c r="B116" s="15">
        <v>423.8</v>
      </c>
      <c r="C116" s="23">
        <f t="shared" si="151"/>
        <v>20.424096385542168</v>
      </c>
      <c r="D116" s="24">
        <f t="shared" si="152"/>
        <v>63.910547244581082</v>
      </c>
      <c r="E116" s="14" t="s">
        <v>61</v>
      </c>
      <c r="F116" s="15">
        <v>424.8</v>
      </c>
      <c r="G116" s="23">
        <f t="shared" si="153"/>
        <v>20.228571428571428</v>
      </c>
      <c r="H116" s="24">
        <f t="shared" si="154"/>
        <v>65.504339706239108</v>
      </c>
      <c r="I116" s="194" t="s">
        <v>61</v>
      </c>
      <c r="J116" s="78">
        <v>424.5</v>
      </c>
      <c r="K116" s="163">
        <f t="shared" si="155"/>
        <v>20.214285714285715</v>
      </c>
      <c r="L116" s="24">
        <f t="shared" si="156"/>
        <v>63.181360742631611</v>
      </c>
      <c r="M116" s="26">
        <f t="shared" si="157"/>
        <v>424.3</v>
      </c>
      <c r="N116" s="27">
        <f t="shared" si="158"/>
        <v>64.1987492311506</v>
      </c>
      <c r="O116" s="28">
        <f t="shared" si="159"/>
        <v>1.1880038321224822</v>
      </c>
      <c r="P116" s="29">
        <f t="shared" si="160"/>
        <v>1.8505093110848918</v>
      </c>
      <c r="Q116" s="83" t="s">
        <v>128</v>
      </c>
      <c r="R116" s="81">
        <v>1454</v>
      </c>
      <c r="S116" s="81">
        <v>1454</v>
      </c>
      <c r="T116" s="81">
        <v>1454</v>
      </c>
      <c r="U116" s="81">
        <f t="shared" si="149"/>
        <v>1454</v>
      </c>
      <c r="V116" s="81">
        <f t="shared" si="150"/>
        <v>0</v>
      </c>
      <c r="W116" s="90">
        <f t="shared" si="161"/>
        <v>21.149090909090908</v>
      </c>
      <c r="X116" s="88">
        <f t="shared" si="162"/>
        <v>66.215000534693914</v>
      </c>
      <c r="Y116" s="89">
        <f t="shared" si="163"/>
        <v>64.1987492311506</v>
      </c>
      <c r="Z116" s="227">
        <f t="shared" si="164"/>
        <v>-3.0450068523172202</v>
      </c>
      <c r="AA116" s="14">
        <v>425.73200000000003</v>
      </c>
      <c r="AB116" s="15">
        <f t="shared" si="165"/>
        <v>66.401098037456691</v>
      </c>
      <c r="AC116" s="33">
        <f t="shared" si="166"/>
        <v>3.4305166886919105</v>
      </c>
      <c r="AD116" s="194">
        <v>420.21499999999997</v>
      </c>
      <c r="AE116" s="15">
        <f t="shared" si="167"/>
        <v>65.540615720241505</v>
      </c>
      <c r="AF116" s="33">
        <f t="shared" si="168"/>
        <v>2.0901754398040548</v>
      </c>
      <c r="AG116" s="14">
        <v>3975.4</v>
      </c>
      <c r="AH116" s="15">
        <f t="shared" si="169"/>
        <v>620.0401312048549</v>
      </c>
      <c r="AI116" s="33">
        <f t="shared" si="170"/>
        <v>865.81341323702645</v>
      </c>
      <c r="AO116" s="2"/>
      <c r="AP116" s="2"/>
      <c r="AQ116" s="2"/>
      <c r="AR116" s="2"/>
      <c r="AS116" s="2"/>
    </row>
    <row r="117" spans="1:45" x14ac:dyDescent="0.2">
      <c r="A117" s="14" t="s">
        <v>95</v>
      </c>
      <c r="B117" s="15">
        <v>549.5</v>
      </c>
      <c r="C117" s="23">
        <f t="shared" si="151"/>
        <v>26.481927710843372</v>
      </c>
      <c r="D117" s="24">
        <f t="shared" si="152"/>
        <v>82.866554296595808</v>
      </c>
      <c r="E117" s="14" t="s">
        <v>95</v>
      </c>
      <c r="F117" s="15">
        <v>548.79999999999995</v>
      </c>
      <c r="G117" s="23">
        <f t="shared" si="153"/>
        <v>26.133333333333333</v>
      </c>
      <c r="H117" s="24">
        <f t="shared" si="154"/>
        <v>84.625192162862561</v>
      </c>
      <c r="I117" s="194" t="s">
        <v>95</v>
      </c>
      <c r="J117" s="78">
        <v>551.5</v>
      </c>
      <c r="K117" s="163">
        <f t="shared" si="155"/>
        <v>26.261904761904763</v>
      </c>
      <c r="L117" s="24">
        <f t="shared" si="156"/>
        <v>82.083675970698067</v>
      </c>
      <c r="M117" s="26">
        <f t="shared" si="157"/>
        <v>549.15</v>
      </c>
      <c r="N117" s="27">
        <f t="shared" si="158"/>
        <v>83.191807476718807</v>
      </c>
      <c r="O117" s="28">
        <f t="shared" si="159"/>
        <v>1.3016022288486113</v>
      </c>
      <c r="P117" s="29">
        <f t="shared" si="160"/>
        <v>1.5645798166037734</v>
      </c>
      <c r="Q117" s="83" t="s">
        <v>129</v>
      </c>
      <c r="R117" s="81">
        <v>1860</v>
      </c>
      <c r="S117" s="81">
        <v>1860</v>
      </c>
      <c r="T117" s="81">
        <v>1860</v>
      </c>
      <c r="U117" s="81">
        <f t="shared" si="149"/>
        <v>1860</v>
      </c>
      <c r="V117" s="81">
        <f t="shared" si="150"/>
        <v>0</v>
      </c>
      <c r="W117" s="90">
        <f t="shared" si="161"/>
        <v>27.054545454545455</v>
      </c>
      <c r="X117" s="88">
        <f t="shared" si="162"/>
        <v>84.704196007242544</v>
      </c>
      <c r="Y117" s="89">
        <f t="shared" si="163"/>
        <v>83.191807476718807</v>
      </c>
      <c r="Z117" s="227">
        <f t="shared" si="164"/>
        <v>-1.7854942279298907</v>
      </c>
      <c r="AA117" s="14">
        <v>539.43899999999996</v>
      </c>
      <c r="AB117" s="15">
        <f t="shared" si="165"/>
        <v>84.135892825128465</v>
      </c>
      <c r="AC117" s="33">
        <f t="shared" si="166"/>
        <v>1.1348297110552139</v>
      </c>
      <c r="AD117" s="194">
        <v>539.245</v>
      </c>
      <c r="AE117" s="15">
        <f t="shared" si="167"/>
        <v>84.105634791860439</v>
      </c>
      <c r="AF117" s="33">
        <f t="shared" si="168"/>
        <v>1.0984583011943401</v>
      </c>
      <c r="AG117" s="14">
        <v>5578.67</v>
      </c>
      <c r="AH117" s="15">
        <f t="shared" si="169"/>
        <v>870.10094047104383</v>
      </c>
      <c r="AI117" s="33">
        <f t="shared" si="170"/>
        <v>945.89738684850818</v>
      </c>
      <c r="AO117" s="2"/>
      <c r="AP117" s="2"/>
      <c r="AQ117" s="2"/>
      <c r="AR117" s="2"/>
      <c r="AS117" s="2"/>
    </row>
    <row r="118" spans="1:45" x14ac:dyDescent="0.2">
      <c r="A118" s="14" t="s">
        <v>113</v>
      </c>
      <c r="B118" s="15">
        <v>566.5</v>
      </c>
      <c r="C118" s="23">
        <f t="shared" si="151"/>
        <v>27.301204819277107</v>
      </c>
      <c r="D118" s="24">
        <f t="shared" si="152"/>
        <v>85.430214757091051</v>
      </c>
      <c r="E118" s="14" t="s">
        <v>113</v>
      </c>
      <c r="F118" s="15">
        <v>568.79999999999995</v>
      </c>
      <c r="G118" s="23">
        <f t="shared" si="153"/>
        <v>27.085714285714282</v>
      </c>
      <c r="H118" s="24">
        <f t="shared" si="154"/>
        <v>87.709200623608282</v>
      </c>
      <c r="I118" s="194" t="s">
        <v>113</v>
      </c>
      <c r="J118" s="78">
        <v>567.79999999999995</v>
      </c>
      <c r="K118" s="163">
        <f t="shared" si="155"/>
        <v>27.038095238095234</v>
      </c>
      <c r="L118" s="24">
        <f t="shared" si="156"/>
        <v>84.509721153512885</v>
      </c>
      <c r="M118" s="26">
        <f t="shared" si="157"/>
        <v>567.65</v>
      </c>
      <c r="N118" s="27">
        <f t="shared" si="158"/>
        <v>85.883045511404077</v>
      </c>
      <c r="O118" s="28">
        <f t="shared" si="159"/>
        <v>1.6471062470069309</v>
      </c>
      <c r="P118" s="29">
        <f t="shared" si="160"/>
        <v>1.9178479724362103</v>
      </c>
      <c r="Q118" s="83" t="s">
        <v>130</v>
      </c>
      <c r="R118" s="81">
        <v>1928</v>
      </c>
      <c r="S118" s="81">
        <v>1928</v>
      </c>
      <c r="T118" s="81">
        <v>1928</v>
      </c>
      <c r="U118" s="81">
        <f t="shared" si="149"/>
        <v>1928</v>
      </c>
      <c r="V118" s="81">
        <f t="shared" si="150"/>
        <v>0</v>
      </c>
      <c r="W118" s="90">
        <f t="shared" si="161"/>
        <v>28.043636363636363</v>
      </c>
      <c r="X118" s="88">
        <f t="shared" si="162"/>
        <v>87.800908549442809</v>
      </c>
      <c r="Y118" s="248">
        <f t="shared" si="163"/>
        <v>85.883045511404077</v>
      </c>
      <c r="Z118" s="249">
        <f t="shared" si="164"/>
        <v>-2.1843316541066735</v>
      </c>
      <c r="AA118" s="14">
        <v>566.072</v>
      </c>
      <c r="AB118" s="15">
        <f t="shared" si="165"/>
        <v>88.289821691249841</v>
      </c>
      <c r="AC118" s="33">
        <f t="shared" si="166"/>
        <v>2.8023880214240626</v>
      </c>
      <c r="AD118" s="194">
        <v>558.42899999999997</v>
      </c>
      <c r="AE118" s="15">
        <f t="shared" si="167"/>
        <v>87.097748762035494</v>
      </c>
      <c r="AF118" s="33">
        <f t="shared" si="168"/>
        <v>1.4143690915922635</v>
      </c>
      <c r="AG118" s="14" t="s">
        <v>60</v>
      </c>
      <c r="AH118" s="15" t="s">
        <v>60</v>
      </c>
      <c r="AI118" s="204" t="s">
        <v>60</v>
      </c>
      <c r="AO118" s="2"/>
      <c r="AP118" s="2"/>
      <c r="AQ118" s="2"/>
      <c r="AR118" s="2"/>
      <c r="AS118" s="2"/>
    </row>
    <row r="119" spans="1:45" ht="15.75" thickBot="1" x14ac:dyDescent="0.25">
      <c r="A119" s="168" t="s">
        <v>31</v>
      </c>
      <c r="B119" s="169">
        <v>709.5</v>
      </c>
      <c r="C119" s="23">
        <f t="shared" si="151"/>
        <v>34.192771084337352</v>
      </c>
      <c r="D119" s="24">
        <f t="shared" si="152"/>
        <v>106.99512333655092</v>
      </c>
      <c r="E119" s="168" t="s">
        <v>31</v>
      </c>
      <c r="F119" s="169">
        <v>706.5</v>
      </c>
      <c r="G119" s="23">
        <f t="shared" si="153"/>
        <v>33.642857142857146</v>
      </c>
      <c r="H119" s="24">
        <f t="shared" si="154"/>
        <v>108.94259887584258</v>
      </c>
      <c r="I119" s="235" t="s">
        <v>31</v>
      </c>
      <c r="J119" s="236">
        <v>711.8</v>
      </c>
      <c r="K119" s="207">
        <f t="shared" si="155"/>
        <v>33.895238095238092</v>
      </c>
      <c r="L119" s="24">
        <f t="shared" si="156"/>
        <v>105.94226755384022</v>
      </c>
      <c r="M119" s="171">
        <f t="shared" si="157"/>
        <v>708</v>
      </c>
      <c r="N119" s="172">
        <f t="shared" si="158"/>
        <v>107.29332992207792</v>
      </c>
      <c r="O119" s="173">
        <f t="shared" si="159"/>
        <v>1.5222326977784459</v>
      </c>
      <c r="P119" s="174">
        <f t="shared" si="160"/>
        <v>1.4187579963115804</v>
      </c>
      <c r="Q119" s="142" t="s">
        <v>131</v>
      </c>
      <c r="R119" s="250" t="s">
        <v>60</v>
      </c>
      <c r="S119" s="250" t="s">
        <v>60</v>
      </c>
      <c r="T119" s="250" t="s">
        <v>96</v>
      </c>
      <c r="U119" s="250" t="s">
        <v>60</v>
      </c>
      <c r="V119" s="250" t="s">
        <v>96</v>
      </c>
      <c r="W119" s="250" t="s">
        <v>96</v>
      </c>
      <c r="X119" s="251" t="s">
        <v>60</v>
      </c>
      <c r="Y119" s="142" t="s">
        <v>60</v>
      </c>
      <c r="Z119" s="242" t="s">
        <v>60</v>
      </c>
      <c r="AA119" s="61">
        <v>691.73099999999999</v>
      </c>
      <c r="AB119" s="62">
        <f t="shared" si="165"/>
        <v>107.88876087902236</v>
      </c>
      <c r="AC119" s="183">
        <f t="shared" si="166"/>
        <v>0.55495617237052286</v>
      </c>
      <c r="AD119" s="235">
        <v>687.49800000000005</v>
      </c>
      <c r="AE119" s="62">
        <f t="shared" si="167"/>
        <v>107.22854307065336</v>
      </c>
      <c r="AF119" s="183">
        <f t="shared" si="168"/>
        <v>-6.0382925454554301E-2</v>
      </c>
      <c r="AG119" s="61" t="s">
        <v>60</v>
      </c>
      <c r="AH119" s="62" t="s">
        <v>60</v>
      </c>
      <c r="AI119" s="211" t="s">
        <v>60</v>
      </c>
      <c r="AO119" s="2"/>
      <c r="AP119" s="2"/>
      <c r="AQ119" s="2"/>
      <c r="AR119" s="2"/>
      <c r="AS119" s="2"/>
    </row>
    <row r="120" spans="1:45" x14ac:dyDescent="0.2">
      <c r="A120" s="52" t="s">
        <v>33</v>
      </c>
      <c r="B120" s="53" t="s">
        <v>34</v>
      </c>
      <c r="C120" s="54" t="s">
        <v>35</v>
      </c>
      <c r="D120" s="55" t="s">
        <v>36</v>
      </c>
      <c r="E120" s="52" t="s">
        <v>33</v>
      </c>
      <c r="F120" s="53" t="s">
        <v>34</v>
      </c>
      <c r="G120" s="54" t="s">
        <v>35</v>
      </c>
      <c r="H120" s="55" t="s">
        <v>36</v>
      </c>
      <c r="I120" s="52" t="s">
        <v>33</v>
      </c>
      <c r="J120" s="53" t="s">
        <v>132</v>
      </c>
      <c r="K120" s="54" t="s">
        <v>35</v>
      </c>
      <c r="L120" s="55" t="s">
        <v>36</v>
      </c>
      <c r="M120" s="56"/>
      <c r="N120" s="56"/>
      <c r="O120" s="56"/>
      <c r="P120" s="56"/>
      <c r="Q120" s="76" t="s">
        <v>63</v>
      </c>
      <c r="R120" s="125" t="s">
        <v>64</v>
      </c>
      <c r="S120" s="126"/>
      <c r="T120" s="127" t="s">
        <v>35</v>
      </c>
      <c r="U120" s="127"/>
      <c r="V120" s="127" t="s">
        <v>36</v>
      </c>
      <c r="W120" s="127"/>
      <c r="X120" s="128"/>
      <c r="AO120" s="2"/>
      <c r="AP120" s="2"/>
      <c r="AQ120" s="2"/>
      <c r="AR120" s="2"/>
    </row>
    <row r="121" spans="1:45" x14ac:dyDescent="0.2">
      <c r="A121" s="14" t="s">
        <v>37</v>
      </c>
      <c r="B121" s="15">
        <v>800</v>
      </c>
      <c r="C121" s="58">
        <v>0</v>
      </c>
      <c r="D121" s="129">
        <v>0.25</v>
      </c>
      <c r="E121" s="14" t="s">
        <v>37</v>
      </c>
      <c r="F121" s="15">
        <v>800</v>
      </c>
      <c r="G121" s="58">
        <v>0</v>
      </c>
      <c r="H121" s="129">
        <v>0.25</v>
      </c>
      <c r="I121" s="14" t="s">
        <v>37</v>
      </c>
      <c r="J121" s="15">
        <v>800</v>
      </c>
      <c r="K121" s="58">
        <v>0</v>
      </c>
      <c r="L121" s="59">
        <v>0.25</v>
      </c>
      <c r="M121" s="56"/>
      <c r="N121" s="56"/>
      <c r="O121" s="56"/>
      <c r="P121" s="56"/>
      <c r="Q121" s="83" t="s">
        <v>65</v>
      </c>
      <c r="R121" s="138">
        <v>0</v>
      </c>
      <c r="S121" s="138"/>
      <c r="T121" s="139">
        <v>2000</v>
      </c>
      <c r="U121" s="139"/>
      <c r="V121" s="188">
        <v>0.625</v>
      </c>
      <c r="W121" s="188"/>
      <c r="X121" s="189"/>
      <c r="AO121" s="2"/>
      <c r="AP121" s="2"/>
      <c r="AQ121" s="2"/>
      <c r="AR121" s="2"/>
    </row>
    <row r="122" spans="1:45" x14ac:dyDescent="0.2">
      <c r="A122" s="14"/>
      <c r="B122" s="60" t="s">
        <v>38</v>
      </c>
      <c r="C122" s="58" t="s">
        <v>39</v>
      </c>
      <c r="D122" s="59" t="s">
        <v>40</v>
      </c>
      <c r="E122" s="14"/>
      <c r="F122" s="60" t="s">
        <v>38</v>
      </c>
      <c r="G122" s="58" t="s">
        <v>39</v>
      </c>
      <c r="H122" s="59" t="s">
        <v>40</v>
      </c>
      <c r="I122" s="14"/>
      <c r="J122" s="60" t="s">
        <v>38</v>
      </c>
      <c r="K122" s="58" t="s">
        <v>39</v>
      </c>
      <c r="L122" s="59" t="s">
        <v>40</v>
      </c>
      <c r="M122" s="56"/>
      <c r="N122" s="56"/>
      <c r="O122" s="56"/>
      <c r="P122" s="56"/>
      <c r="Q122" s="83"/>
      <c r="R122" s="137" t="s">
        <v>38</v>
      </c>
      <c r="S122" s="138"/>
      <c r="T122" s="139" t="s">
        <v>39</v>
      </c>
      <c r="U122" s="139"/>
      <c r="V122" s="139" t="s">
        <v>67</v>
      </c>
      <c r="W122" s="139"/>
      <c r="X122" s="140"/>
      <c r="AO122" s="2"/>
      <c r="AP122" s="2"/>
      <c r="AQ122" s="2"/>
      <c r="AR122" s="2"/>
    </row>
    <row r="123" spans="1:45" ht="15.75" thickBot="1" x14ac:dyDescent="0.25">
      <c r="A123" s="61" t="s">
        <v>41</v>
      </c>
      <c r="B123" s="62">
        <v>9</v>
      </c>
      <c r="C123" s="63">
        <v>5</v>
      </c>
      <c r="D123" s="141" t="s">
        <v>90</v>
      </c>
      <c r="E123" s="61" t="s">
        <v>41</v>
      </c>
      <c r="F123" s="62">
        <v>9</v>
      </c>
      <c r="G123" s="63">
        <v>5</v>
      </c>
      <c r="H123" s="141" t="s">
        <v>90</v>
      </c>
      <c r="I123" s="61" t="s">
        <v>41</v>
      </c>
      <c r="J123" s="62">
        <v>9</v>
      </c>
      <c r="K123" s="63">
        <v>5</v>
      </c>
      <c r="L123" s="64" t="s">
        <v>120</v>
      </c>
      <c r="M123" s="56"/>
      <c r="N123" s="56"/>
      <c r="O123" s="56"/>
      <c r="P123" s="56"/>
      <c r="Q123" s="142" t="s">
        <v>69</v>
      </c>
      <c r="R123" s="190">
        <v>10</v>
      </c>
      <c r="S123" s="190"/>
      <c r="T123" s="191">
        <v>3</v>
      </c>
      <c r="U123" s="191"/>
      <c r="V123" s="191" t="s">
        <v>133</v>
      </c>
      <c r="W123" s="191"/>
      <c r="X123" s="192"/>
      <c r="AO123" s="2"/>
      <c r="AP123" s="2"/>
      <c r="AQ123" s="2"/>
      <c r="AR123" s="2"/>
    </row>
    <row r="124" spans="1:45" x14ac:dyDescent="0.2">
      <c r="C124" s="56"/>
      <c r="D124" s="56"/>
      <c r="G124" s="56"/>
      <c r="H124" s="56"/>
      <c r="K124" s="56"/>
      <c r="L124" s="56"/>
      <c r="P124" s="56"/>
      <c r="Q124" s="56"/>
      <c r="R124" s="56"/>
      <c r="S124" s="56"/>
      <c r="T124" s="56"/>
    </row>
    <row r="125" spans="1:45" ht="15.75" thickBot="1" x14ac:dyDescent="0.25">
      <c r="C125" s="56"/>
      <c r="D125" s="56"/>
      <c r="G125" s="56"/>
      <c r="H125" s="56"/>
      <c r="K125" s="56"/>
      <c r="L125" s="56"/>
      <c r="P125" s="56"/>
      <c r="Q125" s="56"/>
      <c r="R125" s="56"/>
      <c r="S125" s="56"/>
      <c r="T125" s="56"/>
    </row>
    <row r="126" spans="1:45" ht="27" customHeight="1" x14ac:dyDescent="0.2">
      <c r="A126" s="4" t="s">
        <v>134</v>
      </c>
      <c r="B126" s="5" t="s">
        <v>135</v>
      </c>
      <c r="C126" s="5" t="s">
        <v>92</v>
      </c>
      <c r="D126" s="153"/>
      <c r="E126" s="4" t="s">
        <v>136</v>
      </c>
      <c r="F126" s="5" t="s">
        <v>135</v>
      </c>
      <c r="G126" s="5" t="s">
        <v>92</v>
      </c>
      <c r="H126" s="153"/>
      <c r="I126" s="4" t="s">
        <v>137</v>
      </c>
      <c r="J126" s="5" t="s">
        <v>135</v>
      </c>
      <c r="K126" s="5" t="s">
        <v>92</v>
      </c>
      <c r="L126" s="153"/>
      <c r="M126" s="65" t="s">
        <v>6</v>
      </c>
      <c r="N126" s="66"/>
      <c r="O126" s="70"/>
      <c r="P126" s="71"/>
      <c r="Q126" s="65" t="s">
        <v>7</v>
      </c>
      <c r="R126" s="68"/>
      <c r="S126" s="67"/>
      <c r="T126" s="65"/>
      <c r="U126" s="68"/>
      <c r="V126" s="67"/>
      <c r="W126" s="65"/>
      <c r="X126" s="68"/>
      <c r="Y126" s="67"/>
      <c r="AO126" s="2"/>
      <c r="AP126" s="2"/>
      <c r="AQ126" s="2"/>
      <c r="AR126" s="2"/>
    </row>
    <row r="127" spans="1:45" x14ac:dyDescent="0.2">
      <c r="A127" s="14" t="s">
        <v>8</v>
      </c>
      <c r="B127" s="15" t="s">
        <v>9</v>
      </c>
      <c r="C127" s="15" t="s">
        <v>10</v>
      </c>
      <c r="D127" s="16" t="s">
        <v>11</v>
      </c>
      <c r="E127" s="14" t="s">
        <v>8</v>
      </c>
      <c r="F127" s="78" t="s">
        <v>9</v>
      </c>
      <c r="G127" s="78" t="s">
        <v>10</v>
      </c>
      <c r="H127" s="16" t="s">
        <v>11</v>
      </c>
      <c r="I127" s="14" t="s">
        <v>8</v>
      </c>
      <c r="J127" s="15" t="s">
        <v>9</v>
      </c>
      <c r="K127" s="15" t="s">
        <v>10</v>
      </c>
      <c r="L127" s="16" t="s">
        <v>11</v>
      </c>
      <c r="M127" s="14" t="s">
        <v>12</v>
      </c>
      <c r="N127" s="15" t="s">
        <v>13</v>
      </c>
      <c r="O127" s="15" t="s">
        <v>127</v>
      </c>
      <c r="P127" s="16" t="s">
        <v>15</v>
      </c>
      <c r="Q127" s="14" t="s">
        <v>87</v>
      </c>
      <c r="R127" s="15" t="s">
        <v>11</v>
      </c>
      <c r="S127" s="22" t="s">
        <v>19</v>
      </c>
      <c r="T127" s="14" t="s">
        <v>88</v>
      </c>
      <c r="U127" s="15" t="s">
        <v>11</v>
      </c>
      <c r="V127" s="22" t="s">
        <v>19</v>
      </c>
      <c r="W127" s="14" t="s">
        <v>89</v>
      </c>
      <c r="X127" s="15" t="s">
        <v>11</v>
      </c>
      <c r="Y127" s="22" t="s">
        <v>19</v>
      </c>
      <c r="AO127" s="2"/>
      <c r="AP127" s="2"/>
      <c r="AQ127" s="2"/>
      <c r="AR127" s="2"/>
    </row>
    <row r="128" spans="1:45" x14ac:dyDescent="0.2">
      <c r="A128" s="14" t="s">
        <v>26</v>
      </c>
      <c r="B128" s="15">
        <v>9.75</v>
      </c>
      <c r="C128" s="23">
        <f>B128/9.75</f>
        <v>1</v>
      </c>
      <c r="D128" s="24">
        <f>2*3.14158*B128*(12*1180*0.003958*0.29981^4*0.91/2100000000/0.003958^3)^0.5</f>
        <v>3.4462108802716496</v>
      </c>
      <c r="E128" s="14" t="s">
        <v>26</v>
      </c>
      <c r="F128" s="78">
        <v>9.5</v>
      </c>
      <c r="G128" s="163">
        <f>F128/9.5</f>
        <v>1</v>
      </c>
      <c r="H128" s="24">
        <f>2*3.14158*F128*(12*1185*0.003996*0.29943^4*0.91/2100000000/0.003996^3)^0.5</f>
        <v>3.3245105268946378</v>
      </c>
      <c r="I128" s="14" t="s">
        <v>26</v>
      </c>
      <c r="J128" s="15">
        <v>9.75</v>
      </c>
      <c r="K128" s="23">
        <f>J128/9.75</f>
        <v>1</v>
      </c>
      <c r="L128" s="24">
        <f>2*3.14158*J128*(12*1180*0.003957*0.29975^4*0.91/2100000000/0.003957^3)^0.5</f>
        <v>3.4457022268544004</v>
      </c>
      <c r="M128" s="26">
        <f>AVERAGE(B128,F128)</f>
        <v>9.625</v>
      </c>
      <c r="N128" s="27">
        <f>AVERAGE(D128,H128,L128)</f>
        <v>3.4054745446735626</v>
      </c>
      <c r="O128" s="28">
        <f>STDEV(D128,H128,L128)</f>
        <v>7.0117357432052871E-2</v>
      </c>
      <c r="P128" s="29">
        <f>O128/N128*100</f>
        <v>2.0589599632075384</v>
      </c>
      <c r="Q128" s="14">
        <v>9.2931000000000008</v>
      </c>
      <c r="R128" s="23">
        <f>2*3.14158*Q128*(12*1180*0.004*0.3^4*0.91/2100000000/0.004^3)^0.5</f>
        <v>3.2543474852517376</v>
      </c>
      <c r="S128" s="33">
        <f>100*(R128-N128)/N128</f>
        <v>-4.4377679950126172</v>
      </c>
      <c r="T128" s="14">
        <v>9.3209700000000009</v>
      </c>
      <c r="U128" s="23">
        <f>2*3.14158*T128*(12*1180*0.004*0.3^4*0.91/2100000000/0.004^3)^0.5</f>
        <v>3.2641072709436987</v>
      </c>
      <c r="V128" s="33">
        <f>100*(U128-N128)/N128</f>
        <v>-4.1511769321833212</v>
      </c>
      <c r="W128" s="14">
        <v>9.3014299999999999</v>
      </c>
      <c r="X128" s="23">
        <f>2*3.14158*W128*(12*1180*0.004*0.3^4*0.91/2100000000/0.004^3)^0.5</f>
        <v>3.2572645650800127</v>
      </c>
      <c r="Y128" s="33">
        <f>100*(X128-N128)/N128</f>
        <v>-4.3521094534493656</v>
      </c>
      <c r="AO128" s="2"/>
      <c r="AP128" s="2"/>
      <c r="AQ128" s="2"/>
      <c r="AR128" s="2"/>
    </row>
    <row r="129" spans="1:44" x14ac:dyDescent="0.2">
      <c r="A129" s="14" t="s">
        <v>28</v>
      </c>
      <c r="B129" s="15">
        <v>61</v>
      </c>
      <c r="C129" s="23">
        <f t="shared" ref="C129:C136" si="171">B129/9.75</f>
        <v>6.2564102564102564</v>
      </c>
      <c r="D129" s="24">
        <f t="shared" ref="D129:D136" si="172">2*3.14158*B129*(12*1180*0.003958*0.29981^4*0.91/2100000000/0.003958^3)^0.5</f>
        <v>21.560909097084167</v>
      </c>
      <c r="E129" s="14" t="s">
        <v>28</v>
      </c>
      <c r="F129" s="78">
        <v>59.75</v>
      </c>
      <c r="G129" s="163">
        <f t="shared" ref="G129:G136" si="173">F129/9.5</f>
        <v>6.2894736842105265</v>
      </c>
      <c r="H129" s="24">
        <f t="shared" ref="H129:H136" si="174">2*3.14158*F129*(12*1185*0.003996*0.29943^4*0.91/2100000000/0.003996^3)^0.5</f>
        <v>20.909421471784693</v>
      </c>
      <c r="I129" s="14" t="s">
        <v>28</v>
      </c>
      <c r="J129" s="15">
        <v>61.25</v>
      </c>
      <c r="K129" s="23">
        <f t="shared" ref="K129:K136" si="175">J129/9.75</f>
        <v>6.2820512820512819</v>
      </c>
      <c r="L129" s="24">
        <f t="shared" ref="L129:L136" si="176">2*3.14158*J129*(12*1180*0.003957*0.29975^4*0.91/2100000000/0.003957^3)^0.5</f>
        <v>21.646078091777646</v>
      </c>
      <c r="M129" s="26">
        <f t="shared" ref="M129:M135" si="177">AVERAGE(B129,F129)</f>
        <v>60.375</v>
      </c>
      <c r="N129" s="27">
        <f t="shared" ref="N129:N136" si="178">AVERAGE(D129,H129,L129)</f>
        <v>21.372136220215499</v>
      </c>
      <c r="O129" s="28">
        <f t="shared" ref="O129:O136" si="179">STDEV(D129,H129,L129)</f>
        <v>0.40297908534539928</v>
      </c>
      <c r="P129" s="29">
        <f t="shared" ref="P129:P136" si="180">O129/N129*100</f>
        <v>1.8855348908183966</v>
      </c>
      <c r="Q129" s="14">
        <v>57.948599999999999</v>
      </c>
      <c r="R129" s="23">
        <f t="shared" ref="R129:R136" si="181">2*3.14158*Q129*(12*1180*0.004*0.3^4*0.91/2100000000/0.004^3)^0.5</f>
        <v>20.293000256519228</v>
      </c>
      <c r="S129" s="33">
        <f t="shared" ref="S129:S136" si="182">100*(R129-N129)/N129</f>
        <v>-5.0492657943829498</v>
      </c>
      <c r="T129" s="14">
        <v>57.998399999999997</v>
      </c>
      <c r="U129" s="23">
        <f t="shared" ref="U129:U136" si="183">2*3.14158*T129*(12*1180*0.004*0.3^4*0.91/2100000000/0.004^3)^0.5</f>
        <v>20.310439701350933</v>
      </c>
      <c r="V129" s="33">
        <f t="shared" ref="V129:V136" si="184">100*(U129-N129)/N129</f>
        <v>-4.9676668159185997</v>
      </c>
      <c r="W129" s="14">
        <v>58.235700000000001</v>
      </c>
      <c r="X129" s="23">
        <f t="shared" ref="X129:X136" si="185">2*3.14158*W129*(12*1180*0.004*0.3^4*0.91/2100000000/0.004^3)^0.5</f>
        <v>20.393539706542985</v>
      </c>
      <c r="Y129" s="33">
        <f t="shared" ref="Y129:Y136" si="186">100*(X129-N129)/N129</f>
        <v>-4.5788427679348125</v>
      </c>
      <c r="AO129" s="2"/>
      <c r="AP129" s="2"/>
      <c r="AQ129" s="2"/>
      <c r="AR129" s="2"/>
    </row>
    <row r="130" spans="1:44" x14ac:dyDescent="0.2">
      <c r="A130" s="14" t="s">
        <v>27</v>
      </c>
      <c r="B130" s="15">
        <v>114</v>
      </c>
      <c r="C130" s="23">
        <f t="shared" si="171"/>
        <v>11.692307692307692</v>
      </c>
      <c r="D130" s="24">
        <f t="shared" si="172"/>
        <v>40.294157984714666</v>
      </c>
      <c r="E130" s="14" t="s">
        <v>27</v>
      </c>
      <c r="F130" s="78">
        <v>115.75</v>
      </c>
      <c r="G130" s="163">
        <f t="shared" si="173"/>
        <v>12.184210526315789</v>
      </c>
      <c r="H130" s="24">
        <f t="shared" si="174"/>
        <v>40.506536156637296</v>
      </c>
      <c r="I130" s="14" t="s">
        <v>27</v>
      </c>
      <c r="J130" s="15">
        <v>114.8</v>
      </c>
      <c r="K130" s="23">
        <f t="shared" si="175"/>
        <v>11.774358974358973</v>
      </c>
      <c r="L130" s="24">
        <f t="shared" si="176"/>
        <v>40.570934937731813</v>
      </c>
      <c r="M130" s="26">
        <f t="shared" si="177"/>
        <v>114.875</v>
      </c>
      <c r="N130" s="27">
        <f t="shared" si="178"/>
        <v>40.45720969302792</v>
      </c>
      <c r="O130" s="28">
        <f t="shared" si="179"/>
        <v>0.14483161063634914</v>
      </c>
      <c r="P130" s="29">
        <f t="shared" si="180"/>
        <v>0.35798714675398952</v>
      </c>
      <c r="Q130" s="14">
        <v>123.27800000000001</v>
      </c>
      <c r="R130" s="23">
        <f t="shared" si="181"/>
        <v>43.170680320545749</v>
      </c>
      <c r="S130" s="35">
        <f t="shared" si="182"/>
        <v>6.7070137760524977</v>
      </c>
      <c r="T130" s="14">
        <v>118.63</v>
      </c>
      <c r="U130" s="23">
        <f t="shared" si="183"/>
        <v>41.542998802919755</v>
      </c>
      <c r="V130" s="35">
        <f t="shared" si="184"/>
        <v>2.6837963322985936</v>
      </c>
      <c r="W130" s="14">
        <v>300.80599999999998</v>
      </c>
      <c r="X130" s="23">
        <f t="shared" si="185"/>
        <v>105.33914943868396</v>
      </c>
      <c r="Y130" s="33">
        <f t="shared" si="186"/>
        <v>160.37176127061792</v>
      </c>
      <c r="AO130" s="2"/>
      <c r="AP130" s="2"/>
      <c r="AQ130" s="2"/>
      <c r="AR130" s="2"/>
    </row>
    <row r="131" spans="1:44" x14ac:dyDescent="0.2">
      <c r="A131" s="14" t="s">
        <v>30</v>
      </c>
      <c r="B131" s="15">
        <v>168</v>
      </c>
      <c r="C131" s="23">
        <f t="shared" si="171"/>
        <v>17.23076923076923</v>
      </c>
      <c r="D131" s="24">
        <f t="shared" si="172"/>
        <v>59.380864398526882</v>
      </c>
      <c r="E131" s="14" t="s">
        <v>30</v>
      </c>
      <c r="F131" s="78">
        <v>164.25</v>
      </c>
      <c r="G131" s="163">
        <f t="shared" si="173"/>
        <v>17.289473684210527</v>
      </c>
      <c r="H131" s="24">
        <f t="shared" si="174"/>
        <v>57.479037267625714</v>
      </c>
      <c r="I131" s="14" t="s">
        <v>30</v>
      </c>
      <c r="J131" s="15">
        <v>168.5</v>
      </c>
      <c r="K131" s="23">
        <f t="shared" si="175"/>
        <v>17.282051282051281</v>
      </c>
      <c r="L131" s="24">
        <f t="shared" si="176"/>
        <v>59.548802587176048</v>
      </c>
      <c r="M131" s="26">
        <f t="shared" si="177"/>
        <v>166.125</v>
      </c>
      <c r="N131" s="27">
        <f t="shared" si="178"/>
        <v>58.802901417776212</v>
      </c>
      <c r="O131" s="28">
        <f t="shared" si="179"/>
        <v>1.1495708002737248</v>
      </c>
      <c r="P131" s="29">
        <f t="shared" si="180"/>
        <v>1.9549559163864791</v>
      </c>
      <c r="Q131" s="14">
        <v>160.02199999999999</v>
      </c>
      <c r="R131" s="23">
        <f t="shared" si="181"/>
        <v>56.038049013241377</v>
      </c>
      <c r="S131" s="33">
        <f t="shared" si="182"/>
        <v>-4.7018979299872026</v>
      </c>
      <c r="T131" s="14">
        <v>159.38900000000001</v>
      </c>
      <c r="U131" s="23">
        <f t="shared" si="183"/>
        <v>55.816378961464864</v>
      </c>
      <c r="V131" s="33">
        <f t="shared" si="184"/>
        <v>-5.0788692127503046</v>
      </c>
      <c r="W131" s="14">
        <v>162.81399999999999</v>
      </c>
      <c r="X131" s="23">
        <f t="shared" si="185"/>
        <v>57.015778530713796</v>
      </c>
      <c r="Y131" s="33">
        <f t="shared" si="186"/>
        <v>-3.0391746733132567</v>
      </c>
      <c r="AO131" s="2"/>
      <c r="AP131" s="2"/>
      <c r="AQ131" s="2"/>
      <c r="AR131" s="2"/>
    </row>
    <row r="132" spans="1:44" x14ac:dyDescent="0.2">
      <c r="A132" s="14" t="s">
        <v>108</v>
      </c>
      <c r="B132" s="15">
        <v>277.8</v>
      </c>
      <c r="C132" s="23">
        <f t="shared" si="171"/>
        <v>28.492307692307694</v>
      </c>
      <c r="D132" s="24">
        <f t="shared" si="172"/>
        <v>98.190500773278373</v>
      </c>
      <c r="E132" s="14" t="s">
        <v>108</v>
      </c>
      <c r="F132" s="78">
        <v>293.8</v>
      </c>
      <c r="G132" s="163">
        <f t="shared" si="173"/>
        <v>30.926315789473687</v>
      </c>
      <c r="H132" s="24">
        <f t="shared" si="174"/>
        <v>102.81486240017313</v>
      </c>
      <c r="I132" s="14" t="s">
        <v>108</v>
      </c>
      <c r="J132" s="15">
        <v>284</v>
      </c>
      <c r="K132" s="23">
        <f t="shared" si="175"/>
        <v>29.128205128205128</v>
      </c>
      <c r="L132" s="24">
        <f t="shared" si="176"/>
        <v>100.36712127452817</v>
      </c>
      <c r="M132" s="26">
        <f t="shared" si="177"/>
        <v>285.8</v>
      </c>
      <c r="N132" s="27">
        <f t="shared" si="178"/>
        <v>100.45749481599323</v>
      </c>
      <c r="O132" s="28">
        <f t="shared" si="179"/>
        <v>2.3135050565801394</v>
      </c>
      <c r="P132" s="29">
        <f t="shared" si="180"/>
        <v>2.3029690923686266</v>
      </c>
      <c r="Q132" s="14">
        <v>295.51</v>
      </c>
      <c r="R132" s="23">
        <f t="shared" si="181"/>
        <v>103.48454502445264</v>
      </c>
      <c r="S132" s="33">
        <f t="shared" si="182"/>
        <v>3.0132646787619235</v>
      </c>
      <c r="T132" s="14">
        <v>292.67200000000003</v>
      </c>
      <c r="U132" s="23">
        <f t="shared" si="183"/>
        <v>102.4907067828385</v>
      </c>
      <c r="V132" s="33">
        <f t="shared" si="184"/>
        <v>2.0239524891293392</v>
      </c>
      <c r="W132" s="14">
        <v>319.05</v>
      </c>
      <c r="X132" s="23">
        <f t="shared" si="185"/>
        <v>111.72800950915914</v>
      </c>
      <c r="Y132" s="33">
        <f t="shared" si="186"/>
        <v>11.219187491993477</v>
      </c>
      <c r="AO132" s="2"/>
      <c r="AP132" s="2"/>
      <c r="AQ132" s="2"/>
      <c r="AR132" s="2"/>
    </row>
    <row r="133" spans="1:44" x14ac:dyDescent="0.2">
      <c r="A133" s="14" t="s">
        <v>29</v>
      </c>
      <c r="B133" s="15">
        <v>300.3</v>
      </c>
      <c r="C133" s="23">
        <f t="shared" si="171"/>
        <v>30.8</v>
      </c>
      <c r="D133" s="24">
        <f t="shared" si="172"/>
        <v>106.1432951123668</v>
      </c>
      <c r="E133" s="14" t="s">
        <v>29</v>
      </c>
      <c r="F133" s="78">
        <v>300</v>
      </c>
      <c r="G133" s="163">
        <f t="shared" si="173"/>
        <v>31.578947368421051</v>
      </c>
      <c r="H133" s="24">
        <f t="shared" si="174"/>
        <v>104.9845429545675</v>
      </c>
      <c r="I133" s="14" t="s">
        <v>29</v>
      </c>
      <c r="J133" s="15">
        <v>304.3</v>
      </c>
      <c r="K133" s="23">
        <f t="shared" si="175"/>
        <v>31.210256410256413</v>
      </c>
      <c r="L133" s="24">
        <f t="shared" si="176"/>
        <v>107.54125001351734</v>
      </c>
      <c r="M133" s="26">
        <f t="shared" si="177"/>
        <v>300.14999999999998</v>
      </c>
      <c r="N133" s="27">
        <f t="shared" si="178"/>
        <v>106.22302936015056</v>
      </c>
      <c r="O133" s="28">
        <f t="shared" si="179"/>
        <v>1.2802171335454058</v>
      </c>
      <c r="P133" s="29">
        <f t="shared" si="180"/>
        <v>1.2052161769975633</v>
      </c>
      <c r="Q133" s="14">
        <v>307.43400000000003</v>
      </c>
      <c r="R133" s="23">
        <f t="shared" si="181"/>
        <v>107.66020647371519</v>
      </c>
      <c r="S133" s="33">
        <f t="shared" si="182"/>
        <v>1.3529807257632074</v>
      </c>
      <c r="T133" s="14">
        <v>298.57900000000001</v>
      </c>
      <c r="U133" s="23">
        <f t="shared" si="183"/>
        <v>104.55927707643073</v>
      </c>
      <c r="V133" s="33">
        <f t="shared" si="184"/>
        <v>-1.5662820894317151</v>
      </c>
      <c r="W133" s="14">
        <v>905.12300000000005</v>
      </c>
      <c r="X133" s="23">
        <f t="shared" si="185"/>
        <v>316.96471133351719</v>
      </c>
      <c r="Y133" s="33">
        <f t="shared" si="186"/>
        <v>198.39547341362692</v>
      </c>
      <c r="AO133" s="2"/>
      <c r="AP133" s="2"/>
      <c r="AQ133" s="2"/>
      <c r="AR133" s="2"/>
    </row>
    <row r="134" spans="1:44" x14ac:dyDescent="0.2">
      <c r="A134" s="14" t="s">
        <v>61</v>
      </c>
      <c r="B134" s="15">
        <v>367</v>
      </c>
      <c r="C134" s="23">
        <f t="shared" si="171"/>
        <v>37.641025641025642</v>
      </c>
      <c r="D134" s="24">
        <f t="shared" si="172"/>
        <v>129.71891210868668</v>
      </c>
      <c r="E134" s="14" t="s">
        <v>61</v>
      </c>
      <c r="F134" s="78" t="s">
        <v>60</v>
      </c>
      <c r="G134" s="163" t="s">
        <v>60</v>
      </c>
      <c r="H134" s="24" t="s">
        <v>60</v>
      </c>
      <c r="I134" s="14" t="s">
        <v>61</v>
      </c>
      <c r="J134" s="15">
        <v>370.8</v>
      </c>
      <c r="K134" s="23">
        <f t="shared" si="175"/>
        <v>38.030769230769231</v>
      </c>
      <c r="L134" s="24">
        <f t="shared" si="176"/>
        <v>131.04270622744735</v>
      </c>
      <c r="M134" s="194">
        <f>J134</f>
        <v>370.8</v>
      </c>
      <c r="N134" s="27">
        <f t="shared" si="178"/>
        <v>130.380809168067</v>
      </c>
      <c r="O134" s="15" t="s">
        <v>60</v>
      </c>
      <c r="P134" s="16" t="s">
        <v>60</v>
      </c>
      <c r="Q134" s="14">
        <v>387.13400000000001</v>
      </c>
      <c r="R134" s="23">
        <f t="shared" si="181"/>
        <v>135.57032199755153</v>
      </c>
      <c r="S134" s="33">
        <f t="shared" si="182"/>
        <v>3.9802735253736623</v>
      </c>
      <c r="T134" s="14">
        <v>384.22199999999998</v>
      </c>
      <c r="U134" s="23">
        <f t="shared" si="183"/>
        <v>134.55056972144848</v>
      </c>
      <c r="V134" s="33">
        <f t="shared" si="184"/>
        <v>3.1981398029264119</v>
      </c>
      <c r="W134" s="14">
        <v>1518.65</v>
      </c>
      <c r="X134" s="23">
        <f t="shared" si="185"/>
        <v>531.81551995325037</v>
      </c>
      <c r="Y134" s="33">
        <f t="shared" si="186"/>
        <v>307.89401703107632</v>
      </c>
      <c r="AO134" s="2"/>
      <c r="AP134" s="2"/>
      <c r="AQ134" s="2"/>
      <c r="AR134" s="2"/>
    </row>
    <row r="135" spans="1:44" x14ac:dyDescent="0.2">
      <c r="A135" s="14" t="s">
        <v>95</v>
      </c>
      <c r="B135" s="58">
        <v>390.3</v>
      </c>
      <c r="C135" s="23">
        <f t="shared" si="171"/>
        <v>40.030769230769231</v>
      </c>
      <c r="D135" s="24">
        <f t="shared" si="172"/>
        <v>137.9544724687205</v>
      </c>
      <c r="E135" s="14" t="s">
        <v>95</v>
      </c>
      <c r="F135" s="205">
        <v>390</v>
      </c>
      <c r="G135" s="163">
        <f t="shared" si="173"/>
        <v>41.05263157894737</v>
      </c>
      <c r="H135" s="24">
        <f t="shared" si="174"/>
        <v>136.47990584093776</v>
      </c>
      <c r="I135" s="14" t="s">
        <v>95</v>
      </c>
      <c r="J135" s="58">
        <v>397.3</v>
      </c>
      <c r="K135" s="23">
        <f t="shared" si="175"/>
        <v>40.748717948717953</v>
      </c>
      <c r="L135" s="24">
        <f t="shared" si="176"/>
        <v>140.40794817735932</v>
      </c>
      <c r="M135" s="26">
        <f t="shared" si="177"/>
        <v>390.15</v>
      </c>
      <c r="N135" s="27">
        <f t="shared" si="178"/>
        <v>138.28077549567251</v>
      </c>
      <c r="O135" s="28">
        <f t="shared" si="179"/>
        <v>1.9842465568140895</v>
      </c>
      <c r="P135" s="29">
        <f t="shared" si="180"/>
        <v>1.4349402870366361</v>
      </c>
      <c r="Q135" s="14">
        <v>418.1</v>
      </c>
      <c r="R135" s="23">
        <f t="shared" si="181"/>
        <v>146.41429486218286</v>
      </c>
      <c r="S135" s="33">
        <f t="shared" si="182"/>
        <v>5.8818872958699018</v>
      </c>
      <c r="T135" s="14">
        <v>408.77699999999999</v>
      </c>
      <c r="U135" s="23">
        <f t="shared" si="183"/>
        <v>143.14947670623897</v>
      </c>
      <c r="V135" s="33">
        <f t="shared" si="184"/>
        <v>3.5208807537522251</v>
      </c>
      <c r="W135" s="14">
        <v>2120.4</v>
      </c>
      <c r="X135" s="23">
        <f t="shared" si="185"/>
        <v>742.54214500304363</v>
      </c>
      <c r="Y135" s="33">
        <f t="shared" si="186"/>
        <v>436.98147290639213</v>
      </c>
      <c r="AO135" s="2"/>
      <c r="AP135" s="2"/>
      <c r="AQ135" s="2"/>
      <c r="AR135" s="2"/>
    </row>
    <row r="136" spans="1:44" ht="15.75" thickBot="1" x14ac:dyDescent="0.25">
      <c r="A136" s="168" t="s">
        <v>110</v>
      </c>
      <c r="B136" s="169">
        <v>463.8</v>
      </c>
      <c r="C136" s="23">
        <f t="shared" si="171"/>
        <v>47.569230769230771</v>
      </c>
      <c r="D136" s="24">
        <f t="shared" si="172"/>
        <v>163.93360064307598</v>
      </c>
      <c r="E136" s="168" t="s">
        <v>110</v>
      </c>
      <c r="F136" s="170">
        <v>478</v>
      </c>
      <c r="G136" s="163">
        <f t="shared" si="173"/>
        <v>50.315789473684212</v>
      </c>
      <c r="H136" s="24">
        <f t="shared" si="174"/>
        <v>167.27537177427755</v>
      </c>
      <c r="I136" s="168" t="s">
        <v>110</v>
      </c>
      <c r="J136" s="169">
        <v>469.5</v>
      </c>
      <c r="K136" s="23">
        <f t="shared" si="175"/>
        <v>48.153846153846153</v>
      </c>
      <c r="L136" s="24">
        <f t="shared" si="176"/>
        <v>165.92381492391192</v>
      </c>
      <c r="M136" s="171">
        <f>AVERAGE(B136,F136)</f>
        <v>470.9</v>
      </c>
      <c r="N136" s="172">
        <f t="shared" si="178"/>
        <v>165.71092911375513</v>
      </c>
      <c r="O136" s="173">
        <f t="shared" si="179"/>
        <v>1.6810261299151872</v>
      </c>
      <c r="P136" s="174">
        <f t="shared" si="180"/>
        <v>1.014432867467189</v>
      </c>
      <c r="Q136" s="61">
        <v>475.04599999999999</v>
      </c>
      <c r="R136" s="182">
        <f t="shared" si="181"/>
        <v>166.35619497034324</v>
      </c>
      <c r="S136" s="183">
        <f t="shared" si="182"/>
        <v>0.38939245591047106</v>
      </c>
      <c r="T136" s="61">
        <v>467.71199999999999</v>
      </c>
      <c r="U136" s="182">
        <f t="shared" si="183"/>
        <v>163.78790403870187</v>
      </c>
      <c r="V136" s="183">
        <f t="shared" si="184"/>
        <v>-1.1604696716974936</v>
      </c>
      <c r="W136" s="61">
        <v>524.96900000000005</v>
      </c>
      <c r="X136" s="182">
        <f t="shared" si="185"/>
        <v>183.83871312964666</v>
      </c>
      <c r="Y136" s="183">
        <f t="shared" si="186"/>
        <v>10.939401590976178</v>
      </c>
      <c r="AO136" s="2"/>
      <c r="AP136" s="2"/>
      <c r="AQ136" s="2"/>
      <c r="AR136" s="2"/>
    </row>
    <row r="137" spans="1:44" x14ac:dyDescent="0.2">
      <c r="A137" s="52" t="s">
        <v>33</v>
      </c>
      <c r="B137" s="53" t="s">
        <v>34</v>
      </c>
      <c r="C137" s="54" t="s">
        <v>35</v>
      </c>
      <c r="D137" s="55" t="s">
        <v>36</v>
      </c>
      <c r="E137" s="52" t="s">
        <v>33</v>
      </c>
      <c r="F137" s="53" t="s">
        <v>34</v>
      </c>
      <c r="G137" s="54" t="s">
        <v>35</v>
      </c>
      <c r="H137" s="55" t="s">
        <v>36</v>
      </c>
      <c r="I137" s="52" t="s">
        <v>33</v>
      </c>
      <c r="J137" s="53" t="s">
        <v>34</v>
      </c>
      <c r="K137" s="54" t="s">
        <v>35</v>
      </c>
      <c r="L137" s="55" t="s">
        <v>36</v>
      </c>
      <c r="O137" s="57"/>
      <c r="P137" s="221"/>
      <c r="R137" s="57"/>
    </row>
    <row r="138" spans="1:44" x14ac:dyDescent="0.2">
      <c r="A138" s="14" t="s">
        <v>37</v>
      </c>
      <c r="B138" s="15">
        <v>800</v>
      </c>
      <c r="C138" s="58">
        <v>0</v>
      </c>
      <c r="D138" s="129">
        <v>0.25</v>
      </c>
      <c r="E138" s="14" t="s">
        <v>37</v>
      </c>
      <c r="F138" s="15">
        <v>800</v>
      </c>
      <c r="G138" s="58">
        <v>0</v>
      </c>
      <c r="H138" s="129">
        <v>0.25</v>
      </c>
      <c r="I138" s="14" t="s">
        <v>37</v>
      </c>
      <c r="J138" s="15">
        <v>800</v>
      </c>
      <c r="K138" s="58">
        <v>0</v>
      </c>
      <c r="L138" s="59">
        <v>0.25</v>
      </c>
      <c r="O138" s="57"/>
      <c r="P138" s="221"/>
      <c r="R138" s="57"/>
    </row>
    <row r="139" spans="1:44" x14ac:dyDescent="0.2">
      <c r="A139" s="14"/>
      <c r="B139" s="60" t="s">
        <v>38</v>
      </c>
      <c r="C139" s="58" t="s">
        <v>39</v>
      </c>
      <c r="D139" s="59" t="s">
        <v>40</v>
      </c>
      <c r="E139" s="14"/>
      <c r="F139" s="60" t="s">
        <v>38</v>
      </c>
      <c r="G139" s="58" t="s">
        <v>39</v>
      </c>
      <c r="H139" s="59" t="s">
        <v>40</v>
      </c>
      <c r="I139" s="14"/>
      <c r="J139" s="60" t="s">
        <v>38</v>
      </c>
      <c r="K139" s="58" t="s">
        <v>39</v>
      </c>
      <c r="L139" s="59" t="s">
        <v>40</v>
      </c>
      <c r="O139" s="57"/>
      <c r="P139" s="221"/>
      <c r="R139" s="57"/>
    </row>
    <row r="140" spans="1:44" ht="15.75" thickBot="1" x14ac:dyDescent="0.25">
      <c r="A140" s="61" t="s">
        <v>41</v>
      </c>
      <c r="B140" s="62">
        <v>11</v>
      </c>
      <c r="C140" s="63">
        <v>5</v>
      </c>
      <c r="D140" s="141" t="s">
        <v>90</v>
      </c>
      <c r="E140" s="61" t="s">
        <v>41</v>
      </c>
      <c r="F140" s="62">
        <v>11</v>
      </c>
      <c r="G140" s="63">
        <v>5</v>
      </c>
      <c r="H140" s="141" t="s">
        <v>90</v>
      </c>
      <c r="I140" s="61" t="s">
        <v>41</v>
      </c>
      <c r="J140" s="62">
        <v>11</v>
      </c>
      <c r="K140" s="63">
        <v>5</v>
      </c>
      <c r="L140" s="64" t="s">
        <v>90</v>
      </c>
      <c r="O140" s="57"/>
      <c r="P140" s="221"/>
      <c r="R140" s="57"/>
    </row>
  </sheetData>
  <mergeCells count="48">
    <mergeCell ref="R122:S122"/>
    <mergeCell ref="T122:U122"/>
    <mergeCell ref="V122:X122"/>
    <mergeCell ref="R123:S123"/>
    <mergeCell ref="T123:U123"/>
    <mergeCell ref="V123:X123"/>
    <mergeCell ref="R120:S120"/>
    <mergeCell ref="T120:U120"/>
    <mergeCell ref="V120:X120"/>
    <mergeCell ref="R121:S121"/>
    <mergeCell ref="T121:U121"/>
    <mergeCell ref="V121:X121"/>
    <mergeCell ref="R91:S91"/>
    <mergeCell ref="T91:U91"/>
    <mergeCell ref="V91:X91"/>
    <mergeCell ref="R92:S92"/>
    <mergeCell ref="T92:U92"/>
    <mergeCell ref="V92:X92"/>
    <mergeCell ref="R89:S89"/>
    <mergeCell ref="T89:U89"/>
    <mergeCell ref="V89:X89"/>
    <mergeCell ref="R90:S90"/>
    <mergeCell ref="T90:U90"/>
    <mergeCell ref="V90:X90"/>
    <mergeCell ref="R40:S40"/>
    <mergeCell ref="T40:U40"/>
    <mergeCell ref="V40:X40"/>
    <mergeCell ref="R41:S41"/>
    <mergeCell ref="T41:U41"/>
    <mergeCell ref="V41:X41"/>
    <mergeCell ref="R38:S38"/>
    <mergeCell ref="T38:U38"/>
    <mergeCell ref="V38:X38"/>
    <mergeCell ref="R39:S39"/>
    <mergeCell ref="T39:U39"/>
    <mergeCell ref="V39:X39"/>
    <mergeCell ref="R27:S27"/>
    <mergeCell ref="T27:U27"/>
    <mergeCell ref="V27:X27"/>
    <mergeCell ref="R28:S28"/>
    <mergeCell ref="T28:U28"/>
    <mergeCell ref="V28:X28"/>
    <mergeCell ref="R25:S25"/>
    <mergeCell ref="T25:U25"/>
    <mergeCell ref="V25:X25"/>
    <mergeCell ref="R26:S26"/>
    <mergeCell ref="T26:U26"/>
    <mergeCell ref="V26:X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Modal Test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2025-09-05T14:22:47Z</dcterms:created>
  <dcterms:modified xsi:type="dcterms:W3CDTF">2025-09-05T14:23:27Z</dcterms:modified>
</cp:coreProperties>
</file>